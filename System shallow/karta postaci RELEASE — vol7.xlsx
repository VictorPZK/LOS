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en_skoroszyt" defaultThemeVersion="124226"/>
  <bookViews>
    <workbookView xWindow="0" yWindow="0" windowWidth="20730" windowHeight="11760" firstSheet="1" activeTab="1"/>
  </bookViews>
  <sheets>
    <sheet name="Wykres1" sheetId="4" state="hidden" r:id="rId1"/>
    <sheet name="Stats" sheetId="1" r:id="rId2"/>
    <sheet name="Magic" sheetId="5" r:id="rId3"/>
    <sheet name="Inventory" sheetId="3" r:id="rId4"/>
    <sheet name="meta" sheetId="2" r:id="rId5"/>
  </sheets>
  <definedNames>
    <definedName name="_xlnm._FilterDatabase" localSheetId="4" hidden="1">meta!$C$1:$J$66</definedName>
  </definedNames>
  <calcPr calcId="145621"/>
  <pivotCaches>
    <pivotCache cacheId="0" r:id="rId6"/>
    <pivotCache cacheId="1" r:id="rId7"/>
    <pivotCache cacheId="2" r:id="rId8"/>
    <pivotCache cacheId="3" r:id="rId9"/>
  </pivotCaches>
</workbook>
</file>

<file path=xl/calcChain.xml><?xml version="1.0" encoding="utf-8"?>
<calcChain xmlns="http://schemas.openxmlformats.org/spreadsheetml/2006/main">
  <c r="O10" i="1" l="1"/>
  <c r="A12" i="1" s="1"/>
  <c r="S3" i="2"/>
  <c r="S4" i="2"/>
  <c r="S5" i="2"/>
  <c r="S6" i="2"/>
  <c r="S7" i="2"/>
  <c r="S8" i="2"/>
  <c r="S9" i="2"/>
  <c r="S10" i="2"/>
  <c r="S11" i="2"/>
  <c r="S2" i="2"/>
  <c r="N6" i="1" l="1"/>
  <c r="N7" i="1"/>
  <c r="N8" i="1"/>
  <c r="N5" i="1"/>
  <c r="N4" i="1"/>
  <c r="K4" i="3" l="1"/>
  <c r="K2" i="3"/>
  <c r="B4" i="2" l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3" i="2"/>
  <c r="V28" i="5"/>
  <c r="V29" i="5"/>
  <c r="V30" i="5"/>
  <c r="V31" i="5"/>
  <c r="V32" i="5"/>
  <c r="V33" i="5"/>
  <c r="V34" i="5"/>
  <c r="V36" i="5"/>
  <c r="V37" i="5"/>
  <c r="V38" i="5"/>
  <c r="V39" i="5"/>
  <c r="V40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27" i="5"/>
  <c r="Q27" i="5" s="1"/>
  <c r="V35" i="5" s="1"/>
  <c r="C2" i="1" l="1"/>
  <c r="F7" i="1" l="1"/>
  <c r="F6" i="1"/>
  <c r="H6" i="1" s="1"/>
  <c r="F5" i="1"/>
  <c r="H5" i="1" s="1"/>
  <c r="F4" i="1"/>
  <c r="H4" i="1" l="1"/>
  <c r="H7" i="1"/>
  <c r="R19" i="5"/>
  <c r="N19" i="5" l="1"/>
  <c r="O22" i="5" l="1"/>
  <c r="N22" i="5"/>
  <c r="S19" i="5"/>
  <c r="J33" i="2"/>
  <c r="L6" i="2" l="1"/>
  <c r="A16" i="1" s="1"/>
  <c r="L1" i="1" l="1"/>
  <c r="A25" i="1" l="1"/>
  <c r="G25" i="1" s="1"/>
  <c r="O21" i="5" l="1"/>
  <c r="A24" i="1"/>
  <c r="G24" i="1" s="1"/>
  <c r="A23" i="1"/>
  <c r="G23" i="1" s="1"/>
  <c r="R21" i="5" l="1"/>
  <c r="R27" i="5"/>
  <c r="S27" i="5"/>
  <c r="T27" i="5"/>
  <c r="A20" i="1"/>
  <c r="G20" i="1" s="1"/>
  <c r="A18" i="1"/>
  <c r="G18" i="1" s="1"/>
  <c r="V27" i="5" l="1"/>
  <c r="C8" i="1"/>
  <c r="L10" i="1"/>
  <c r="S21" i="5"/>
  <c r="L9" i="1" l="1"/>
  <c r="N21" i="5" l="1"/>
  <c r="O19" i="5"/>
  <c r="L4" i="2"/>
  <c r="N20" i="5"/>
  <c r="O20" i="5"/>
  <c r="A14" i="1" l="1"/>
  <c r="G14" i="1" s="1"/>
  <c r="N4" i="5"/>
  <c r="O17" i="5"/>
  <c r="N17" i="5"/>
  <c r="O16" i="5"/>
  <c r="N16" i="5"/>
  <c r="O15" i="5"/>
  <c r="N15" i="5"/>
  <c r="O14" i="5"/>
  <c r="N14" i="5"/>
  <c r="O13" i="5"/>
  <c r="N13" i="5"/>
  <c r="O12" i="5"/>
  <c r="N12" i="5"/>
  <c r="O11" i="5"/>
  <c r="N11" i="5"/>
  <c r="O10" i="5"/>
  <c r="N10" i="5"/>
  <c r="O9" i="5"/>
  <c r="N9" i="5"/>
  <c r="O8" i="5"/>
  <c r="N8" i="5"/>
  <c r="O7" i="5"/>
  <c r="N7" i="5"/>
  <c r="O6" i="5"/>
  <c r="N6" i="5"/>
  <c r="O5" i="5"/>
  <c r="N5" i="5"/>
  <c r="O4" i="5"/>
  <c r="F27" i="3"/>
  <c r="E27" i="3"/>
  <c r="J49" i="2" l="1"/>
  <c r="J50" i="2"/>
  <c r="J51" i="2"/>
  <c r="J52" i="2"/>
  <c r="J53" i="2"/>
  <c r="J38" i="2" l="1"/>
  <c r="J39" i="2"/>
  <c r="J27" i="2"/>
  <c r="J25" i="2"/>
  <c r="J21" i="2"/>
  <c r="J22" i="2"/>
  <c r="J23" i="2"/>
  <c r="J24" i="2"/>
  <c r="J26" i="2"/>
  <c r="J16" i="2"/>
  <c r="J17" i="2"/>
  <c r="J18" i="2"/>
  <c r="J19" i="2"/>
  <c r="J20" i="2"/>
  <c r="J28" i="2"/>
  <c r="J29" i="2"/>
  <c r="J30" i="2"/>
  <c r="J31" i="2"/>
  <c r="J32" i="2"/>
  <c r="J34" i="2"/>
  <c r="J35" i="2"/>
  <c r="J37" i="2"/>
  <c r="J36" i="2"/>
  <c r="J40" i="2"/>
  <c r="J41" i="2"/>
  <c r="J42" i="2"/>
  <c r="J43" i="2"/>
  <c r="J44" i="2"/>
  <c r="J45" i="2"/>
  <c r="J46" i="2"/>
  <c r="J47" i="2"/>
  <c r="J48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4" i="2" l="1"/>
  <c r="J5" i="2"/>
  <c r="J6" i="2"/>
  <c r="J7" i="2"/>
  <c r="J8" i="2"/>
  <c r="J9" i="2"/>
  <c r="J10" i="2"/>
  <c r="J11" i="2"/>
  <c r="J12" i="2"/>
  <c r="J13" i="2"/>
  <c r="J14" i="2"/>
  <c r="J15" i="2"/>
  <c r="J3" i="2"/>
  <c r="F9" i="3" l="1"/>
  <c r="F8" i="3" s="1"/>
  <c r="F7" i="3" s="1"/>
  <c r="F6" i="3" s="1"/>
  <c r="F5" i="3" s="1"/>
  <c r="F4" i="3" s="1"/>
  <c r="F3" i="3" s="1"/>
  <c r="F2" i="3" s="1"/>
  <c r="H8" i="1" l="1"/>
  <c r="T52" i="2" l="1"/>
  <c r="G16" i="1"/>
  <c r="P26" i="2"/>
  <c r="O27" i="2" l="1"/>
  <c r="E12" i="1" s="1"/>
  <c r="G12" i="1" s="1"/>
  <c r="P27" i="2"/>
  <c r="P19" i="2"/>
  <c r="R8" i="1" l="1"/>
  <c r="T8" i="1" s="1"/>
  <c r="T53" i="2"/>
  <c r="U54" i="2" s="1"/>
  <c r="R25" i="1"/>
  <c r="T25" i="1" s="1"/>
  <c r="R32" i="1"/>
  <c r="T32" i="1" s="1"/>
  <c r="R30" i="1"/>
  <c r="T30" i="1" s="1"/>
  <c r="R27" i="1"/>
  <c r="T27" i="1" s="1"/>
  <c r="R31" i="1"/>
  <c r="T31" i="1" s="1"/>
  <c r="R29" i="1"/>
  <c r="T29" i="1" s="1"/>
  <c r="R28" i="1"/>
  <c r="T28" i="1" s="1"/>
  <c r="P18" i="2"/>
  <c r="R13" i="1"/>
  <c r="T13" i="1" s="1"/>
  <c r="R9" i="1"/>
  <c r="T9" i="1" s="1"/>
  <c r="R2" i="1"/>
  <c r="T2" i="1" s="1"/>
  <c r="R3" i="1"/>
  <c r="T3" i="1" s="1"/>
  <c r="R4" i="1"/>
  <c r="T4" i="1" s="1"/>
  <c r="R5" i="1"/>
  <c r="T5" i="1" s="1"/>
  <c r="R6" i="1"/>
  <c r="T6" i="1" s="1"/>
  <c r="R7" i="1"/>
  <c r="T7" i="1" s="1"/>
  <c r="N16" i="1" l="1"/>
  <c r="L25" i="1" s="1"/>
  <c r="M16" i="1"/>
  <c r="L24" i="1" s="1"/>
  <c r="L16" i="1"/>
  <c r="L23" i="1" s="1"/>
  <c r="T54" i="2"/>
  <c r="R17" i="1"/>
  <c r="T17" i="1" s="1"/>
  <c r="R19" i="1"/>
  <c r="T19" i="1" s="1"/>
  <c r="R18" i="1"/>
  <c r="T18" i="1" s="1"/>
  <c r="R23" i="1"/>
  <c r="T23" i="1" s="1"/>
  <c r="R24" i="1"/>
  <c r="T24" i="1" s="1"/>
  <c r="R26" i="1"/>
  <c r="T26" i="1" s="1"/>
  <c r="R22" i="1"/>
  <c r="T22" i="1" s="1"/>
  <c r="R21" i="1"/>
  <c r="T21" i="1" s="1"/>
  <c r="R20" i="1"/>
  <c r="T20" i="1" s="1"/>
  <c r="R12" i="1"/>
  <c r="T12" i="1" s="1"/>
  <c r="R14" i="1"/>
  <c r="T14" i="1" s="1"/>
  <c r="P17" i="2"/>
  <c r="Q20" i="2" s="1"/>
  <c r="R10" i="1"/>
  <c r="T10" i="1" s="1"/>
  <c r="R11" i="1"/>
  <c r="T11" i="1" s="1"/>
  <c r="R15" i="1"/>
  <c r="T15" i="1" s="1"/>
  <c r="R16" i="1"/>
  <c r="T16" i="1" s="1"/>
  <c r="R23" i="2"/>
  <c r="R22" i="2"/>
  <c r="Q23" i="2"/>
  <c r="Q22" i="2"/>
  <c r="P23" i="2"/>
  <c r="P22" i="2"/>
  <c r="U45" i="2" l="1"/>
  <c r="U47" i="2" s="1"/>
  <c r="W45" i="2"/>
  <c r="W47" i="2" s="1"/>
  <c r="V45" i="2"/>
  <c r="V47" i="2" s="1"/>
  <c r="P20" i="2"/>
  <c r="Q21" i="2"/>
  <c r="V44" i="2" s="1"/>
  <c r="V46" i="2" s="1"/>
  <c r="R20" i="2"/>
  <c r="P21" i="2"/>
  <c r="R21" i="2"/>
  <c r="U44" i="2" l="1"/>
  <c r="U46" i="2" s="1"/>
  <c r="L7" i="1" s="1"/>
  <c r="W44" i="2"/>
  <c r="W46" i="2" s="1"/>
  <c r="L8" i="1"/>
  <c r="L6" i="1"/>
  <c r="L5" i="1" l="1"/>
</calcChain>
</file>

<file path=xl/sharedStrings.xml><?xml version="1.0" encoding="utf-8"?>
<sst xmlns="http://schemas.openxmlformats.org/spreadsheetml/2006/main" count="545" uniqueCount="432">
  <si>
    <t>input</t>
  </si>
  <si>
    <t>output</t>
  </si>
  <si>
    <t>modyfikator -&gt;</t>
  </si>
  <si>
    <t>strength</t>
  </si>
  <si>
    <t>agility</t>
  </si>
  <si>
    <t>charisma</t>
  </si>
  <si>
    <t>wisdom</t>
  </si>
  <si>
    <t>Spec ability</t>
  </si>
  <si>
    <t>lvl</t>
  </si>
  <si>
    <t>x</t>
  </si>
  <si>
    <t>copper</t>
  </si>
  <si>
    <t>Rasa  VVV</t>
  </si>
  <si>
    <t>silver</t>
  </si>
  <si>
    <t>agilty</t>
  </si>
  <si>
    <t>gold</t>
  </si>
  <si>
    <t>diamond</t>
  </si>
  <si>
    <t>emeralnd</t>
  </si>
  <si>
    <t>ruby</t>
  </si>
  <si>
    <t>standard health</t>
  </si>
  <si>
    <t>saphire</t>
  </si>
  <si>
    <t>standard mana</t>
  </si>
  <si>
    <t>platinum</t>
  </si>
  <si>
    <t>lvl po 4 - ilość</t>
  </si>
  <si>
    <t>lvl 4 hp</t>
  </si>
  <si>
    <t>lvl po 4 hp</t>
  </si>
  <si>
    <t>lvl 4 mana</t>
  </si>
  <si>
    <t>red</t>
  </si>
  <si>
    <t>lvl po 4 mana</t>
  </si>
  <si>
    <t>green</t>
  </si>
  <si>
    <t>yellow</t>
  </si>
  <si>
    <t>blue</t>
  </si>
  <si>
    <t>white</t>
  </si>
  <si>
    <t>black</t>
  </si>
  <si>
    <t>żyły z żywiołów - ziemia, ogien</t>
  </si>
  <si>
    <t>dice</t>
  </si>
  <si>
    <t>kostki do algorytmu</t>
  </si>
  <si>
    <t>kostki do kosztu</t>
  </si>
  <si>
    <t>lockpick (ag)</t>
  </si>
  <si>
    <t>pickpocket(ag)</t>
  </si>
  <si>
    <t>survival(wis)</t>
  </si>
  <si>
    <t>performance(cha)</t>
  </si>
  <si>
    <t>persuasion(cha)</t>
  </si>
  <si>
    <t>tl -&gt;</t>
  </si>
  <si>
    <t>tackling(str)</t>
  </si>
  <si>
    <t>pin(str)</t>
  </si>
  <si>
    <t>seduction(cha)</t>
  </si>
  <si>
    <t>inventory</t>
  </si>
  <si>
    <t>Shallow</t>
  </si>
  <si>
    <t>uderya</t>
  </si>
  <si>
    <t>paltonia</t>
  </si>
  <si>
    <t>Casede</t>
  </si>
  <si>
    <t>money</t>
  </si>
  <si>
    <t>Etykiety wierszy</t>
  </si>
  <si>
    <t>tl</t>
  </si>
  <si>
    <t>aura xp -0,5 *xp sojuszników</t>
  </si>
  <si>
    <t>Small - +1 sukces do wszytkiego z ag</t>
  </si>
  <si>
    <t>Cute - nie można zaatakować</t>
  </si>
  <si>
    <t>dodge (ag)</t>
  </si>
  <si>
    <t>accuracy (ag)</t>
  </si>
  <si>
    <t>stealth (ag)</t>
  </si>
  <si>
    <t>riding (ag)</t>
  </si>
  <si>
    <t>Artistics (ag)</t>
  </si>
  <si>
    <t>Magical effectiveness (wis)</t>
  </si>
  <si>
    <t>intuition (wis)</t>
  </si>
  <si>
    <t>willpower (wis)</t>
  </si>
  <si>
    <t>education (wis)</t>
  </si>
  <si>
    <t>arcane (wis)</t>
  </si>
  <si>
    <t>tame (cha)</t>
  </si>
  <si>
    <t>leadership (cha+wis)</t>
  </si>
  <si>
    <t>religion (cha+wis)</t>
  </si>
  <si>
    <t>deception (cha)</t>
  </si>
  <si>
    <t>intmidation (cha)</t>
  </si>
  <si>
    <t>throw (str)</t>
  </si>
  <si>
    <t>endurance (str+ag)</t>
  </si>
  <si>
    <t>atletics (str)</t>
  </si>
  <si>
    <t>Electricity</t>
  </si>
  <si>
    <t>Fire</t>
  </si>
  <si>
    <t>Earth</t>
  </si>
  <si>
    <t>Air</t>
  </si>
  <si>
    <t>Water</t>
  </si>
  <si>
    <t>Nature</t>
  </si>
  <si>
    <t>Light</t>
  </si>
  <si>
    <t>Darkness</t>
  </si>
  <si>
    <t xml:space="preserve">Runes </t>
  </si>
  <si>
    <t>Time</t>
  </si>
  <si>
    <t>Fate</t>
  </si>
  <si>
    <t>Duplication</t>
  </si>
  <si>
    <t>Creation</t>
  </si>
  <si>
    <t>Abyss</t>
  </si>
  <si>
    <t>Aura czystości</t>
  </si>
  <si>
    <t>acrobatics (ag)</t>
  </si>
  <si>
    <t>cost multiplier</t>
  </si>
  <si>
    <t>dmg dice</t>
  </si>
  <si>
    <t>class</t>
  </si>
  <si>
    <t>magical</t>
  </si>
  <si>
    <t>physical</t>
  </si>
  <si>
    <t>ranged</t>
  </si>
  <si>
    <t>modificator</t>
  </si>
  <si>
    <t>points -&gt;</t>
  </si>
  <si>
    <t>points</t>
  </si>
  <si>
    <t>to reroll</t>
  </si>
  <si>
    <t>Race</t>
  </si>
  <si>
    <t>skills</t>
  </si>
  <si>
    <t>max Health</t>
  </si>
  <si>
    <t>max Mana</t>
  </si>
  <si>
    <t>max shield</t>
  </si>
  <si>
    <t>max barier</t>
  </si>
  <si>
    <t>current health</t>
  </si>
  <si>
    <t>current mana</t>
  </si>
  <si>
    <t>current shield</t>
  </si>
  <si>
    <t>class chosen</t>
  </si>
  <si>
    <t>mana spent</t>
  </si>
  <si>
    <t>current barrier</t>
  </si>
  <si>
    <t>klasa</t>
  </si>
  <si>
    <t>typ klasy</t>
  </si>
  <si>
    <t>lvl req</t>
  </si>
  <si>
    <t>Sword</t>
  </si>
  <si>
    <t>Ranger</t>
  </si>
  <si>
    <t>chemist</t>
  </si>
  <si>
    <t>veterian</t>
  </si>
  <si>
    <t>mage</t>
  </si>
  <si>
    <t>barbarian</t>
  </si>
  <si>
    <t>ninja</t>
  </si>
  <si>
    <t>knight</t>
  </si>
  <si>
    <t>archer</t>
  </si>
  <si>
    <t>hunter</t>
  </si>
  <si>
    <t>crossbow</t>
  </si>
  <si>
    <t>scientist</t>
  </si>
  <si>
    <t>zoologist</t>
  </si>
  <si>
    <t>druid</t>
  </si>
  <si>
    <t>warlock</t>
  </si>
  <si>
    <t>wizard</t>
  </si>
  <si>
    <t>berserker</t>
  </si>
  <si>
    <t>paladin</t>
  </si>
  <si>
    <t>samurai</t>
  </si>
  <si>
    <t>rouge</t>
  </si>
  <si>
    <t>longbow</t>
  </si>
  <si>
    <t>magical archer</t>
  </si>
  <si>
    <t>trapper</t>
  </si>
  <si>
    <t>pirate</t>
  </si>
  <si>
    <t>engineer</t>
  </si>
  <si>
    <t>s</t>
  </si>
  <si>
    <t>poprzednia klasa</t>
  </si>
  <si>
    <t>indeks klasy</t>
  </si>
  <si>
    <t>v</t>
  </si>
  <si>
    <t>m</t>
  </si>
  <si>
    <t>b</t>
  </si>
  <si>
    <t>n</t>
  </si>
  <si>
    <t>k</t>
  </si>
  <si>
    <t>a</t>
  </si>
  <si>
    <t>h</t>
  </si>
  <si>
    <t>numer klasy</t>
  </si>
  <si>
    <t>rank up lvl</t>
  </si>
  <si>
    <t>Skills</t>
  </si>
  <si>
    <t>Chaos</t>
  </si>
  <si>
    <t>Minion</t>
  </si>
  <si>
    <t>(Wszystko)</t>
  </si>
  <si>
    <t>allighment</t>
  </si>
  <si>
    <t>union of need (bonus do testów w grupie morseli)</t>
  </si>
  <si>
    <t>human</t>
  </si>
  <si>
    <t>elf</t>
  </si>
  <si>
    <t>dwarf</t>
  </si>
  <si>
    <t>halfling</t>
  </si>
  <si>
    <t>undead skeleton</t>
  </si>
  <si>
    <t>undead vampire</t>
  </si>
  <si>
    <t>undead zombie</t>
  </si>
  <si>
    <t>undead werewolf</t>
  </si>
  <si>
    <t>undead ghost</t>
  </si>
  <si>
    <t xml:space="preserve">undead lich </t>
  </si>
  <si>
    <t>ents oak</t>
  </si>
  <si>
    <t>ents baobab</t>
  </si>
  <si>
    <t>ents spruce</t>
  </si>
  <si>
    <t xml:space="preserve">ent cherry </t>
  </si>
  <si>
    <t>fairy</t>
  </si>
  <si>
    <t>Dracon</t>
  </si>
  <si>
    <t>Gnoll</t>
  </si>
  <si>
    <t>Tabaxi</t>
  </si>
  <si>
    <t>Waterling</t>
  </si>
  <si>
    <t>Half-elf</t>
  </si>
  <si>
    <t>Snakeors</t>
  </si>
  <si>
    <t>Drow</t>
  </si>
  <si>
    <t>Frostling</t>
  </si>
  <si>
    <t xml:space="preserve">demon avoken </t>
  </si>
  <si>
    <t>demon waxer</t>
  </si>
  <si>
    <t>demon matynion</t>
  </si>
  <si>
    <t>demon Gorger</t>
  </si>
  <si>
    <t>demon Morsel</t>
  </si>
  <si>
    <t>demon wurmkin</t>
  </si>
  <si>
    <t>undead  mummy</t>
  </si>
  <si>
    <t>death affinity (bonus to resurection spells/magic)</t>
  </si>
  <si>
    <t>undead banshee</t>
  </si>
  <si>
    <t>undead wraith</t>
  </si>
  <si>
    <t>entc willow</t>
  </si>
  <si>
    <t>ent birch</t>
  </si>
  <si>
    <t>ent pine</t>
  </si>
  <si>
    <t>ent maple</t>
  </si>
  <si>
    <t>ent cypress</t>
  </si>
  <si>
    <t>ent Yew</t>
  </si>
  <si>
    <t>ent chestnut</t>
  </si>
  <si>
    <t>ent sequoia</t>
  </si>
  <si>
    <t>construct Golem</t>
  </si>
  <si>
    <t>construct Gargoyle</t>
  </si>
  <si>
    <t>construct mimic</t>
  </si>
  <si>
    <t>malfunction (electric, water, earth magic - stuns)</t>
  </si>
  <si>
    <t>construct Doll/toys</t>
  </si>
  <si>
    <t>demon hidhorn</t>
  </si>
  <si>
    <t>demon dragonborn</t>
  </si>
  <si>
    <t>demon banish</t>
  </si>
  <si>
    <t>demon underlegion</t>
  </si>
  <si>
    <t>demon lazaring</t>
  </si>
  <si>
    <t>demon lunar</t>
  </si>
  <si>
    <t>Race alligment</t>
  </si>
  <si>
    <t>Creature leaning</t>
  </si>
  <si>
    <t>MAGIC TYPE</t>
  </si>
  <si>
    <t>elemet</t>
  </si>
  <si>
    <t>ELEMENTAL MAGIC</t>
  </si>
  <si>
    <t>merge (underlegions can merge forming packs capable of much more)</t>
  </si>
  <si>
    <t>Quick recovery (passive healing of hp)</t>
  </si>
  <si>
    <t>reconstruction - doesn't lose abysal energy for returning</t>
  </si>
  <si>
    <t>Deathless (considered undead ent, immune to death spells/ poisons/ acids)</t>
  </si>
  <si>
    <t>Monument (every action must be preceded by willpower test)</t>
  </si>
  <si>
    <t>weak legs (must use fly/wings to move can't fly non stop)</t>
  </si>
  <si>
    <t>variable (depending on a toy type can do various things</t>
  </si>
  <si>
    <t>uncontrolable greed - can't posess antyhing but money , spening money = test willpower)</t>
  </si>
  <si>
    <t>graft</t>
  </si>
  <si>
    <t>Symbol Magic</t>
  </si>
  <si>
    <t>cost</t>
  </si>
  <si>
    <t>glyphs table</t>
  </si>
  <si>
    <t>rune table</t>
  </si>
  <si>
    <t>rune elements</t>
  </si>
  <si>
    <t>pyronians</t>
  </si>
  <si>
    <t>athernos</t>
  </si>
  <si>
    <t>forestos</t>
  </si>
  <si>
    <t>Departos</t>
  </si>
  <si>
    <t>neronians</t>
  </si>
  <si>
    <t>humaos</t>
  </si>
  <si>
    <t>opatos</t>
  </si>
  <si>
    <t>spellbook</t>
  </si>
  <si>
    <t>nazwa zaklęcia</t>
  </si>
  <si>
    <t>element alligment</t>
  </si>
  <si>
    <t>targetted group (solo/aoe)</t>
  </si>
  <si>
    <t xml:space="preserve">spell type </t>
  </si>
  <si>
    <t>range</t>
  </si>
  <si>
    <t>dmg/heal</t>
  </si>
  <si>
    <t>effects</t>
  </si>
  <si>
    <t>casting time</t>
  </si>
  <si>
    <t>duration</t>
  </si>
  <si>
    <t>Abyssal essence only undead</t>
  </si>
  <si>
    <t>LVL</t>
  </si>
  <si>
    <t>Commands</t>
  </si>
  <si>
    <t>Seals</t>
  </si>
  <si>
    <t>Seal type</t>
  </si>
  <si>
    <t>Seal name</t>
  </si>
  <si>
    <t>ammount of elements</t>
  </si>
  <si>
    <t>d12 *3</t>
  </si>
  <si>
    <t>d12 *4</t>
  </si>
  <si>
    <t>d20 *3</t>
  </si>
  <si>
    <t>d20*4</t>
  </si>
  <si>
    <t>d20*6</t>
  </si>
  <si>
    <t>ammount of symboles</t>
  </si>
  <si>
    <t>ammount of parts</t>
  </si>
  <si>
    <t xml:space="preserve">basic strength </t>
  </si>
  <si>
    <t>advancement lvl</t>
  </si>
  <si>
    <t>effect</t>
  </si>
  <si>
    <t>PASSIVE PERCEPTION</t>
  </si>
  <si>
    <t>PASSIVE RESISTANCE</t>
  </si>
  <si>
    <t>ammount used</t>
  </si>
  <si>
    <t>left</t>
  </si>
  <si>
    <t>gunslinger</t>
  </si>
  <si>
    <t>g</t>
  </si>
  <si>
    <t>sage</t>
  </si>
  <si>
    <t>artificer</t>
  </si>
  <si>
    <t>shaman</t>
  </si>
  <si>
    <t>sorcerer</t>
  </si>
  <si>
    <t>tube shooter</t>
  </si>
  <si>
    <t>bounty hunter</t>
  </si>
  <si>
    <t>marksman</t>
  </si>
  <si>
    <t>bard</t>
  </si>
  <si>
    <t>commander</t>
  </si>
  <si>
    <t>spy</t>
  </si>
  <si>
    <t>shadow</t>
  </si>
  <si>
    <t>Guardian</t>
  </si>
  <si>
    <t>0</t>
  </si>
  <si>
    <t>Melee dmg</t>
  </si>
  <si>
    <t>total</t>
  </si>
  <si>
    <t>item name</t>
  </si>
  <si>
    <t>slot</t>
  </si>
  <si>
    <t>des</t>
  </si>
  <si>
    <t>max capacity</t>
  </si>
  <si>
    <t>current capacity used</t>
  </si>
  <si>
    <t>Movement range</t>
  </si>
  <si>
    <t>magic multiplayer</t>
  </si>
  <si>
    <t>staff/wand mult</t>
  </si>
  <si>
    <t>cape mult</t>
  </si>
  <si>
    <t>catalyst 1</t>
  </si>
  <si>
    <t>catalyst 2</t>
  </si>
  <si>
    <t>catalyst 3</t>
  </si>
  <si>
    <t>catalyst 4</t>
  </si>
  <si>
    <t>rest</t>
  </si>
  <si>
    <t>element</t>
  </si>
  <si>
    <t>max</t>
  </si>
  <si>
    <t>current</t>
  </si>
  <si>
    <t>elemental</t>
  </si>
  <si>
    <t>symbol</t>
  </si>
  <si>
    <t>melee</t>
  </si>
  <si>
    <t>Armour Class</t>
  </si>
  <si>
    <t>NAME</t>
  </si>
  <si>
    <t xml:space="preserve">CLASS  </t>
  </si>
  <si>
    <t>SUBCLASS</t>
  </si>
  <si>
    <t>Matching</t>
  </si>
  <si>
    <t>current class</t>
  </si>
  <si>
    <t>current subclass</t>
  </si>
  <si>
    <t>error</t>
  </si>
  <si>
    <t>elements</t>
  </si>
  <si>
    <t>Armour</t>
  </si>
  <si>
    <t>helmet</t>
  </si>
  <si>
    <t>Chestplate</t>
  </si>
  <si>
    <t>Gauntlets</t>
  </si>
  <si>
    <t>Leggins</t>
  </si>
  <si>
    <t>Cape</t>
  </si>
  <si>
    <t>Other</t>
  </si>
  <si>
    <t>sum</t>
  </si>
  <si>
    <t>Boots</t>
  </si>
  <si>
    <t xml:space="preserve"> barrier bonus</t>
  </si>
  <si>
    <t>shield bonus</t>
  </si>
  <si>
    <t>Hero of Great cause</t>
  </si>
  <si>
    <t>base</t>
  </si>
  <si>
    <t>bonuses</t>
  </si>
  <si>
    <t>other</t>
  </si>
  <si>
    <t>Armou counting</t>
  </si>
  <si>
    <t>str</t>
  </si>
  <si>
    <t>agi</t>
  </si>
  <si>
    <t>&lt;- DESCRIPTION</t>
  </si>
  <si>
    <t>added to no. of observation success</t>
  </si>
  <si>
    <t>dmg dealt by bare hands + gauntlets</t>
  </si>
  <si>
    <t>movement in one bonus action of combat</t>
  </si>
  <si>
    <t>used while drinking stronger magical effective drinks/ effects</t>
  </si>
  <si>
    <t>when matching bonus</t>
  </si>
  <si>
    <t>dmg mag recieved</t>
  </si>
  <si>
    <t>dmg phs recieved</t>
  </si>
  <si>
    <t>scepter</t>
  </si>
  <si>
    <t>19,20.</t>
  </si>
  <si>
    <t>9,10.</t>
  </si>
  <si>
    <t>Glyphs</t>
  </si>
  <si>
    <t>Armour Break</t>
  </si>
  <si>
    <t>medicine (wis)</t>
  </si>
  <si>
    <t>death meetings</t>
  </si>
  <si>
    <t>Thiefling</t>
  </si>
  <si>
    <t>Goblin</t>
  </si>
  <si>
    <t>Serpentors</t>
  </si>
  <si>
    <t>Paltonins</t>
  </si>
  <si>
    <t>Mediatoneers</t>
  </si>
  <si>
    <t>Ork</t>
  </si>
  <si>
    <t>quick use cost</t>
  </si>
  <si>
    <t>from stats</t>
  </si>
  <si>
    <t>weapon</t>
  </si>
  <si>
    <t>Melee</t>
  </si>
  <si>
    <t>Ranged</t>
  </si>
  <si>
    <t>Magical</t>
  </si>
  <si>
    <t>total Armour Break</t>
  </si>
  <si>
    <t xml:space="preserve"> V  sum of armour class</t>
  </si>
  <si>
    <t xml:space="preserve"> |</t>
  </si>
  <si>
    <t>&lt;-   type  -&gt;</t>
  </si>
  <si>
    <t>left hand</t>
  </si>
  <si>
    <t>right hand</t>
  </si>
  <si>
    <t>back 1</t>
  </si>
  <si>
    <t>back 2</t>
  </si>
  <si>
    <t>back 3</t>
  </si>
  <si>
    <t>belt 1</t>
  </si>
  <si>
    <t>belt 2</t>
  </si>
  <si>
    <t>belt 3</t>
  </si>
  <si>
    <t>belt 4</t>
  </si>
  <si>
    <t>necklace</t>
  </si>
  <si>
    <t>name</t>
  </si>
  <si>
    <t xml:space="preserve">slots </t>
  </si>
  <si>
    <t>bracelet 1</t>
  </si>
  <si>
    <t>bracelet 2</t>
  </si>
  <si>
    <t>mod</t>
  </si>
  <si>
    <t>MOD</t>
  </si>
  <si>
    <t>Value</t>
  </si>
  <si>
    <t>Mixed races?     (Yes -1/ No - 0)</t>
  </si>
  <si>
    <t>Mixed str</t>
  </si>
  <si>
    <t>Mixed agi</t>
  </si>
  <si>
    <t>Mixed char</t>
  </si>
  <si>
    <t>Mixed wis</t>
  </si>
  <si>
    <t>Racename</t>
  </si>
  <si>
    <t>throw</t>
  </si>
  <si>
    <t>reroll</t>
  </si>
  <si>
    <t>from animals</t>
  </si>
  <si>
    <t>from liquids</t>
  </si>
  <si>
    <t>from sacntus</t>
  </si>
  <si>
    <t>from profanities</t>
  </si>
  <si>
    <t>from minerals/metals/bones</t>
  </si>
  <si>
    <t>from plant based</t>
  </si>
  <si>
    <t>Threathening (str)</t>
  </si>
  <si>
    <t xml:space="preserve">bonus </t>
  </si>
  <si>
    <t>bonus</t>
  </si>
  <si>
    <t>Equipable weaponry</t>
  </si>
  <si>
    <t>Etykiety kolumn</t>
  </si>
  <si>
    <t>char</t>
  </si>
  <si>
    <t>wis</t>
  </si>
  <si>
    <t xml:space="preserve"> allighment</t>
  </si>
  <si>
    <t>place</t>
  </si>
  <si>
    <t>percepction (wis)</t>
  </si>
  <si>
    <t>parry (str)</t>
  </si>
  <si>
    <t>ilość</t>
  </si>
  <si>
    <t>Adept</t>
  </si>
  <si>
    <t>Pc?</t>
  </si>
  <si>
    <t>School of magic</t>
  </si>
  <si>
    <t>2d6</t>
  </si>
  <si>
    <t>3d6</t>
  </si>
  <si>
    <t>3d8</t>
  </si>
  <si>
    <t>d10</t>
  </si>
  <si>
    <t>d20</t>
  </si>
  <si>
    <t>d100</t>
  </si>
  <si>
    <t>4d100</t>
  </si>
  <si>
    <t>3d100</t>
  </si>
  <si>
    <t>2d100</t>
  </si>
  <si>
    <t>4d20</t>
  </si>
  <si>
    <t>3d10</t>
  </si>
  <si>
    <t>2d20</t>
  </si>
  <si>
    <t>(d20+d10)</t>
  </si>
  <si>
    <t>d12</t>
  </si>
  <si>
    <t>d8</t>
  </si>
  <si>
    <t>max dmg</t>
  </si>
  <si>
    <t>max koszt</t>
  </si>
  <si>
    <t>dmg/koszt ratio</t>
  </si>
  <si>
    <t>3d20</t>
  </si>
  <si>
    <t>d6</t>
  </si>
  <si>
    <t>d100+2d12</t>
  </si>
  <si>
    <t>Racial alligment</t>
  </si>
  <si>
    <t>lvl of mastery ^ for&gt;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</si>
</sst>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000_);[Red]\(#,000\)"/>
  </numFmts>
  <fonts count="33" x14ac:knownFonts="1">
    <font>
      <sz val="11"/>
      <color theme="1"/>
      <name val="Calibri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6" tint="0.3999450666829432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4CC20"/>
        <bgColor indexed="64"/>
      </patternFill>
    </fill>
    <fill>
      <patternFill patternType="solid">
        <fgColor rgb="FF4841D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74E892"/>
        <bgColor indexed="64"/>
      </patternFill>
    </fill>
    <fill>
      <patternFill patternType="solid">
        <fgColor rgb="FF27BF6C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8">
    <xf numFmtId="0" fontId="0" fillId="0" borderId="0" xfId="0"/>
    <xf numFmtId="0" fontId="0" fillId="0" borderId="0" xfId="0" applyFill="1" applyBorder="1"/>
    <xf numFmtId="0" fontId="0" fillId="0" borderId="1" xfId="0" applyBorder="1"/>
    <xf numFmtId="0" fontId="0" fillId="3" borderId="1" xfId="0" applyFill="1" applyBorder="1"/>
    <xf numFmtId="0" fontId="0" fillId="0" borderId="0" xfId="0" applyAlignment="1">
      <alignment horizontal="left"/>
    </xf>
    <xf numFmtId="0" fontId="0" fillId="4" borderId="1" xfId="0" applyFill="1" applyBorder="1"/>
    <xf numFmtId="0" fontId="0" fillId="0" borderId="0" xfId="0" applyAlignment="1">
      <alignment horizontal="left" vertical="top"/>
    </xf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29" fillId="9" borderId="0" xfId="0" applyFont="1" applyFill="1"/>
    <xf numFmtId="0" fontId="29" fillId="8" borderId="0" xfId="0" applyFont="1" applyFill="1"/>
    <xf numFmtId="0" fontId="29" fillId="10" borderId="0" xfId="0" applyFont="1" applyFill="1"/>
    <xf numFmtId="0" fontId="29" fillId="11" borderId="0" xfId="0" applyFont="1" applyFill="1"/>
    <xf numFmtId="0" fontId="0" fillId="0" borderId="0" xfId="0" pivotButton="1"/>
    <xf numFmtId="0" fontId="0" fillId="0" borderId="0" xfId="0" applyNumberFormat="1"/>
    <xf numFmtId="0" fontId="0" fillId="0" borderId="0" xfId="0" applyBorder="1"/>
    <xf numFmtId="0" fontId="27" fillId="0" borderId="8" xfId="0" applyFont="1" applyFill="1" applyBorder="1"/>
    <xf numFmtId="0" fontId="27" fillId="6" borderId="1" xfId="0" applyFont="1" applyFill="1" applyBorder="1"/>
    <xf numFmtId="0" fontId="27" fillId="9" borderId="1" xfId="0" applyFont="1" applyFill="1" applyBorder="1"/>
    <xf numFmtId="0" fontId="27" fillId="7" borderId="1" xfId="0" applyFont="1" applyFill="1" applyBorder="1"/>
    <xf numFmtId="0" fontId="27" fillId="3" borderId="1" xfId="0" applyFont="1" applyFill="1" applyBorder="1"/>
    <xf numFmtId="0" fontId="31" fillId="0" borderId="0" xfId="0" applyFont="1" applyFill="1" applyBorder="1"/>
    <xf numFmtId="0" fontId="0" fillId="12" borderId="9" xfId="0" applyFill="1" applyBorder="1"/>
    <xf numFmtId="0" fontId="0" fillId="3" borderId="9" xfId="0" applyFill="1" applyBorder="1" applyAlignment="1">
      <alignment horizontal="center" vertical="center"/>
    </xf>
    <xf numFmtId="0" fontId="0" fillId="3" borderId="9" xfId="0" applyFill="1" applyBorder="1"/>
    <xf numFmtId="0" fontId="0" fillId="3" borderId="9" xfId="0" applyFill="1" applyBorder="1" applyAlignment="1">
      <alignment horizontal="center"/>
    </xf>
    <xf numFmtId="0" fontId="27" fillId="10" borderId="1" xfId="0" applyFont="1" applyFill="1" applyBorder="1"/>
    <xf numFmtId="0" fontId="0" fillId="10" borderId="1" xfId="0" applyFill="1" applyBorder="1"/>
    <xf numFmtId="0" fontId="24" fillId="5" borderId="9" xfId="0" applyFont="1" applyFill="1" applyBorder="1" applyAlignment="1">
      <alignment horizontal="left" vertical="top"/>
    </xf>
    <xf numFmtId="0" fontId="0" fillId="0" borderId="9" xfId="0" applyBorder="1"/>
    <xf numFmtId="0" fontId="24" fillId="10" borderId="1" xfId="0" applyFont="1" applyFill="1" applyBorder="1"/>
    <xf numFmtId="0" fontId="24" fillId="9" borderId="1" xfId="0" applyFont="1" applyFill="1" applyBorder="1"/>
    <xf numFmtId="0" fontId="23" fillId="6" borderId="1" xfId="0" applyFont="1" applyFill="1" applyBorder="1"/>
    <xf numFmtId="0" fontId="22" fillId="9" borderId="1" xfId="0" applyFont="1" applyFill="1" applyBorder="1"/>
    <xf numFmtId="0" fontId="22" fillId="9" borderId="9" xfId="0" applyFont="1" applyFill="1" applyBorder="1"/>
    <xf numFmtId="0" fontId="23" fillId="6" borderId="9" xfId="0" applyFont="1" applyFill="1" applyBorder="1"/>
    <xf numFmtId="0" fontId="22" fillId="8" borderId="9" xfId="0" applyFont="1" applyFill="1" applyBorder="1"/>
    <xf numFmtId="0" fontId="22" fillId="7" borderId="9" xfId="0" applyFont="1" applyFill="1" applyBorder="1"/>
    <xf numFmtId="0" fontId="22" fillId="6" borderId="9" xfId="0" applyFont="1" applyFill="1" applyBorder="1"/>
    <xf numFmtId="0" fontId="22" fillId="8" borderId="1" xfId="0" applyFont="1" applyFill="1" applyBorder="1"/>
    <xf numFmtId="0" fontId="0" fillId="9" borderId="9" xfId="0" applyFill="1" applyBorder="1"/>
    <xf numFmtId="0" fontId="21" fillId="9" borderId="1" xfId="0" applyFont="1" applyFill="1" applyBorder="1"/>
    <xf numFmtId="0" fontId="21" fillId="9" borderId="9" xfId="0" applyFont="1" applyFill="1" applyBorder="1"/>
    <xf numFmtId="0" fontId="0" fillId="8" borderId="9" xfId="0" applyFill="1" applyBorder="1"/>
    <xf numFmtId="0" fontId="20" fillId="8" borderId="1" xfId="0" applyFont="1" applyFill="1" applyBorder="1"/>
    <xf numFmtId="0" fontId="20" fillId="8" borderId="9" xfId="0" applyFont="1" applyFill="1" applyBorder="1"/>
    <xf numFmtId="0" fontId="20" fillId="9" borderId="1" xfId="0" applyFont="1" applyFill="1" applyBorder="1"/>
    <xf numFmtId="0" fontId="20" fillId="9" borderId="9" xfId="0" applyFont="1" applyFill="1" applyBorder="1"/>
    <xf numFmtId="0" fontId="19" fillId="6" borderId="1" xfId="0" applyFont="1" applyFill="1" applyBorder="1"/>
    <xf numFmtId="0" fontId="0" fillId="5" borderId="9" xfId="0" applyFill="1" applyBorder="1"/>
    <xf numFmtId="0" fontId="19" fillId="5" borderId="9" xfId="0" applyFont="1" applyFill="1" applyBorder="1"/>
    <xf numFmtId="0" fontId="24" fillId="5" borderId="10" xfId="0" applyFont="1" applyFill="1" applyBorder="1" applyAlignment="1">
      <alignment horizontal="left" vertical="top"/>
    </xf>
    <xf numFmtId="0" fontId="24" fillId="5" borderId="13" xfId="0" applyFont="1" applyFill="1" applyBorder="1" applyAlignment="1">
      <alignment horizontal="left" vertical="top"/>
    </xf>
    <xf numFmtId="0" fontId="30" fillId="0" borderId="0" xfId="0" applyFont="1" applyFill="1" applyBorder="1" applyAlignment="1"/>
    <xf numFmtId="0" fontId="0" fillId="0" borderId="0" xfId="0" applyFill="1" applyBorder="1" applyAlignment="1">
      <alignment vertical="top"/>
    </xf>
    <xf numFmtId="0" fontId="0" fillId="5" borderId="10" xfId="0" applyFill="1" applyBorder="1"/>
    <xf numFmtId="0" fontId="24" fillId="5" borderId="6" xfId="0" applyFont="1" applyFill="1" applyBorder="1" applyAlignment="1">
      <alignment horizontal="left" vertical="top"/>
    </xf>
    <xf numFmtId="0" fontId="0" fillId="4" borderId="9" xfId="0" applyFill="1" applyBorder="1"/>
    <xf numFmtId="0" fontId="0" fillId="0" borderId="12" xfId="0" applyBorder="1"/>
    <xf numFmtId="164" fontId="0" fillId="0" borderId="10" xfId="0" applyNumberFormat="1" applyBorder="1"/>
    <xf numFmtId="0" fontId="0" fillId="0" borderId="9" xfId="0" applyFill="1" applyBorder="1" applyAlignment="1">
      <alignment horizontal="center"/>
    </xf>
    <xf numFmtId="0" fontId="17" fillId="5" borderId="9" xfId="0" applyFont="1" applyFill="1" applyBorder="1"/>
    <xf numFmtId="0" fontId="0" fillId="0" borderId="0" xfId="0" applyFill="1"/>
    <xf numFmtId="0" fontId="0" fillId="13" borderId="9" xfId="0" applyFill="1" applyBorder="1"/>
    <xf numFmtId="0" fontId="15" fillId="0" borderId="0" xfId="0" applyFont="1" applyAlignment="1">
      <alignment horizontal="left"/>
    </xf>
    <xf numFmtId="0" fontId="0" fillId="13" borderId="0" xfId="0" applyFill="1"/>
    <xf numFmtId="0" fontId="15" fillId="13" borderId="9" xfId="0" applyFont="1" applyFill="1" applyBorder="1"/>
    <xf numFmtId="0" fontId="18" fillId="13" borderId="0" xfId="0" applyFont="1" applyFill="1"/>
    <xf numFmtId="0" fontId="27" fillId="8" borderId="9" xfId="0" applyFont="1" applyFill="1" applyBorder="1"/>
    <xf numFmtId="0" fontId="18" fillId="8" borderId="9" xfId="0" applyFont="1" applyFill="1" applyBorder="1"/>
    <xf numFmtId="0" fontId="15" fillId="13" borderId="0" xfId="0" applyFont="1" applyFill="1"/>
    <xf numFmtId="0" fontId="0" fillId="8" borderId="10" xfId="0" applyFill="1" applyBorder="1"/>
    <xf numFmtId="0" fontId="15" fillId="3" borderId="9" xfId="0" applyFont="1" applyFill="1" applyBorder="1"/>
    <xf numFmtId="0" fontId="14" fillId="3" borderId="9" xfId="0" applyFont="1" applyFill="1" applyBorder="1" applyAlignment="1">
      <alignment horizontal="center"/>
    </xf>
    <xf numFmtId="0" fontId="14" fillId="5" borderId="9" xfId="0" applyFont="1" applyFill="1" applyBorder="1" applyAlignment="1">
      <alignment horizontal="left" vertical="top"/>
    </xf>
    <xf numFmtId="0" fontId="32" fillId="14" borderId="0" xfId="0" applyFont="1" applyFill="1" applyBorder="1"/>
    <xf numFmtId="0" fontId="0" fillId="0" borderId="9" xfId="0" applyFill="1" applyBorder="1"/>
    <xf numFmtId="0" fontId="14" fillId="16" borderId="12" xfId="0" applyFont="1" applyFill="1" applyBorder="1"/>
    <xf numFmtId="0" fontId="0" fillId="16" borderId="9" xfId="0" applyFill="1" applyBorder="1"/>
    <xf numFmtId="0" fontId="0" fillId="16" borderId="10" xfId="0" applyFill="1" applyBorder="1"/>
    <xf numFmtId="0" fontId="14" fillId="16" borderId="9" xfId="0" applyFont="1" applyFill="1" applyBorder="1"/>
    <xf numFmtId="0" fontId="14" fillId="17" borderId="12" xfId="0" applyFont="1" applyFill="1" applyBorder="1"/>
    <xf numFmtId="0" fontId="14" fillId="17" borderId="9" xfId="0" applyFont="1" applyFill="1" applyBorder="1"/>
    <xf numFmtId="0" fontId="14" fillId="17" borderId="10" xfId="0" applyFont="1" applyFill="1" applyBorder="1"/>
    <xf numFmtId="0" fontId="0" fillId="17" borderId="0" xfId="0" applyFill="1"/>
    <xf numFmtId="0" fontId="14" fillId="17" borderId="0" xfId="0" applyFont="1" applyFill="1"/>
    <xf numFmtId="0" fontId="18" fillId="17" borderId="0" xfId="0" applyFont="1" applyFill="1"/>
    <xf numFmtId="0" fontId="15" fillId="12" borderId="9" xfId="0" applyFont="1" applyFill="1" applyBorder="1" applyAlignment="1">
      <alignment horizontal="left" vertical="top"/>
    </xf>
    <xf numFmtId="0" fontId="13" fillId="12" borderId="12" xfId="0" applyFont="1" applyFill="1" applyBorder="1" applyAlignment="1">
      <alignment horizontal="left" vertical="top"/>
    </xf>
    <xf numFmtId="0" fontId="27" fillId="12" borderId="9" xfId="0" applyFont="1" applyFill="1" applyBorder="1" applyAlignment="1">
      <alignment horizontal="left" vertical="top"/>
    </xf>
    <xf numFmtId="0" fontId="27" fillId="12" borderId="12" xfId="0" applyFont="1" applyFill="1" applyBorder="1" applyAlignment="1">
      <alignment horizontal="left" vertical="top"/>
    </xf>
    <xf numFmtId="0" fontId="0" fillId="12" borderId="9" xfId="0" applyFill="1" applyBorder="1" applyAlignment="1">
      <alignment horizontal="left"/>
    </xf>
    <xf numFmtId="0" fontId="0" fillId="12" borderId="12" xfId="0" applyFill="1" applyBorder="1" applyAlignment="1">
      <alignment horizontal="left"/>
    </xf>
    <xf numFmtId="0" fontId="0" fillId="12" borderId="12" xfId="0" applyFill="1" applyBorder="1"/>
    <xf numFmtId="0" fontId="0" fillId="17" borderId="9" xfId="0" applyFill="1" applyBorder="1" applyAlignment="1">
      <alignment horizontal="center" vertical="center"/>
    </xf>
    <xf numFmtId="0" fontId="14" fillId="17" borderId="0" xfId="0" applyFont="1" applyFill="1" applyBorder="1" applyAlignment="1">
      <alignment horizontal="center"/>
    </xf>
    <xf numFmtId="0" fontId="14" fillId="17" borderId="0" xfId="0" applyFont="1" applyFill="1" applyAlignment="1">
      <alignment horizontal="center"/>
    </xf>
    <xf numFmtId="0" fontId="31" fillId="0" borderId="2" xfId="0" applyFont="1" applyFill="1" applyBorder="1"/>
    <xf numFmtId="0" fontId="31" fillId="0" borderId="3" xfId="0" applyFont="1" applyFill="1" applyBorder="1"/>
    <xf numFmtId="0" fontId="31" fillId="0" borderId="4" xfId="0" applyFont="1" applyFill="1" applyBorder="1"/>
    <xf numFmtId="0" fontId="31" fillId="0" borderId="5" xfId="0" applyFont="1" applyFill="1" applyBorder="1"/>
    <xf numFmtId="16" fontId="0" fillId="0" borderId="0" xfId="0" applyNumberFormat="1" applyFill="1"/>
    <xf numFmtId="0" fontId="31" fillId="0" borderId="6" xfId="0" applyFont="1" applyFill="1" applyBorder="1"/>
    <xf numFmtId="0" fontId="31" fillId="0" borderId="7" xfId="0" applyFont="1" applyFill="1" applyBorder="1"/>
    <xf numFmtId="0" fontId="16" fillId="0" borderId="0" xfId="0" applyFont="1" applyFill="1"/>
    <xf numFmtId="0" fontId="31" fillId="0" borderId="0" xfId="0" applyFont="1" applyFill="1" applyAlignment="1">
      <alignment horizontal="right"/>
    </xf>
    <xf numFmtId="0" fontId="31" fillId="0" borderId="0" xfId="0" applyFont="1" applyFill="1" applyAlignment="1">
      <alignment horizontal="center"/>
    </xf>
    <xf numFmtId="0" fontId="0" fillId="0" borderId="0" xfId="0" applyNumberFormat="1" applyFill="1"/>
    <xf numFmtId="0" fontId="0" fillId="0" borderId="9" xfId="0" applyFill="1" applyBorder="1" applyAlignment="1">
      <alignment horizontal="right"/>
    </xf>
    <xf numFmtId="0" fontId="26" fillId="0" borderId="1" xfId="0" applyFont="1" applyFill="1" applyBorder="1" applyAlignment="1">
      <alignment horizontal="right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right"/>
    </xf>
    <xf numFmtId="0" fontId="14" fillId="0" borderId="0" xfId="0" applyFont="1" applyFill="1"/>
    <xf numFmtId="0" fontId="11" fillId="8" borderId="9" xfId="0" applyFont="1" applyFill="1" applyBorder="1"/>
    <xf numFmtId="0" fontId="10" fillId="9" borderId="1" xfId="0" applyFont="1" applyFill="1" applyBorder="1"/>
    <xf numFmtId="0" fontId="9" fillId="7" borderId="1" xfId="0" applyFont="1" applyFill="1" applyBorder="1"/>
    <xf numFmtId="0" fontId="8" fillId="9" borderId="1" xfId="0" applyFont="1" applyFill="1" applyBorder="1"/>
    <xf numFmtId="0" fontId="7" fillId="13" borderId="0" xfId="0" applyFont="1" applyFill="1"/>
    <xf numFmtId="0" fontId="6" fillId="13" borderId="0" xfId="0" applyFont="1" applyFill="1"/>
    <xf numFmtId="0" fontId="0" fillId="2" borderId="9" xfId="0" applyFill="1" applyBorder="1" applyAlignment="1">
      <alignment horizontal="center"/>
    </xf>
    <xf numFmtId="0" fontId="0" fillId="8" borderId="9" xfId="0" applyFill="1" applyBorder="1" applyAlignment="1"/>
    <xf numFmtId="0" fontId="0" fillId="8" borderId="13" xfId="0" applyFill="1" applyBorder="1"/>
    <xf numFmtId="0" fontId="5" fillId="13" borderId="9" xfId="0" applyFont="1" applyFill="1" applyBorder="1"/>
    <xf numFmtId="0" fontId="5" fillId="12" borderId="9" xfId="0" applyFont="1" applyFill="1" applyBorder="1" applyAlignment="1">
      <alignment horizontal="left" vertical="top"/>
    </xf>
    <xf numFmtId="0" fontId="0" fillId="0" borderId="9" xfId="0" applyBorder="1" applyAlignment="1">
      <alignment horizontal="left"/>
    </xf>
    <xf numFmtId="0" fontId="5" fillId="0" borderId="9" xfId="0" applyFont="1" applyFill="1" applyBorder="1"/>
    <xf numFmtId="0" fontId="0" fillId="13" borderId="9" xfId="0" applyFill="1" applyBorder="1" applyAlignment="1"/>
    <xf numFmtId="0" fontId="0" fillId="12" borderId="10" xfId="0" applyFill="1" applyBorder="1"/>
    <xf numFmtId="0" fontId="0" fillId="17" borderId="9" xfId="0" applyFill="1" applyBorder="1" applyAlignment="1">
      <alignment horizontal="center"/>
    </xf>
    <xf numFmtId="0" fontId="0" fillId="0" borderId="10" xfId="0" applyBorder="1"/>
    <xf numFmtId="0" fontId="0" fillId="20" borderId="9" xfId="0" applyFill="1" applyBorder="1"/>
    <xf numFmtId="0" fontId="32" fillId="14" borderId="0" xfId="0" applyFont="1" applyFill="1" applyBorder="1" applyAlignment="1">
      <alignment horizontal="center"/>
    </xf>
    <xf numFmtId="0" fontId="13" fillId="15" borderId="9" xfId="0" applyFont="1" applyFill="1" applyBorder="1"/>
    <xf numFmtId="0" fontId="0" fillId="0" borderId="9" xfId="0" applyBorder="1" applyAlignment="1">
      <alignment vertical="center"/>
    </xf>
    <xf numFmtId="0" fontId="25" fillId="17" borderId="9" xfId="0" applyFont="1" applyFill="1" applyBorder="1" applyAlignment="1">
      <alignment horizontal="center"/>
    </xf>
    <xf numFmtId="0" fontId="0" fillId="17" borderId="9" xfId="0" applyFill="1" applyBorder="1"/>
    <xf numFmtId="0" fontId="5" fillId="17" borderId="9" xfId="0" applyFont="1" applyFill="1" applyBorder="1"/>
    <xf numFmtId="0" fontId="0" fillId="17" borderId="10" xfId="0" applyFill="1" applyBorder="1" applyAlignment="1">
      <alignment vertical="center"/>
    </xf>
    <xf numFmtId="0" fontId="0" fillId="17" borderId="12" xfId="0" applyFill="1" applyBorder="1" applyAlignment="1">
      <alignment vertical="center"/>
    </xf>
    <xf numFmtId="0" fontId="5" fillId="12" borderId="12" xfId="0" applyFont="1" applyFill="1" applyBorder="1" applyAlignment="1">
      <alignment horizontal="left" vertical="top"/>
    </xf>
    <xf numFmtId="0" fontId="0" fillId="6" borderId="0" xfId="0" applyFill="1" applyAlignment="1">
      <alignment horizontal="left"/>
    </xf>
    <xf numFmtId="0" fontId="0" fillId="17" borderId="13" xfId="0" applyFill="1" applyBorder="1" applyAlignment="1">
      <alignment horizontal="center"/>
    </xf>
    <xf numFmtId="0" fontId="0" fillId="12" borderId="10" xfId="0" applyFill="1" applyBorder="1" applyAlignment="1">
      <alignment horizontal="center"/>
    </xf>
    <xf numFmtId="0" fontId="28" fillId="12" borderId="10" xfId="0" applyFont="1" applyFill="1" applyBorder="1" applyAlignment="1">
      <alignment horizontal="center"/>
    </xf>
    <xf numFmtId="0" fontId="27" fillId="12" borderId="10" xfId="0" applyFont="1" applyFill="1" applyBorder="1" applyAlignment="1">
      <alignment horizontal="center"/>
    </xf>
    <xf numFmtId="0" fontId="4" fillId="12" borderId="10" xfId="0" applyFont="1" applyFill="1" applyBorder="1" applyAlignment="1">
      <alignment horizontal="center"/>
    </xf>
    <xf numFmtId="0" fontId="31" fillId="12" borderId="10" xfId="0" applyFont="1" applyFill="1" applyBorder="1" applyAlignment="1">
      <alignment horizontal="center"/>
    </xf>
    <xf numFmtId="0" fontId="30" fillId="12" borderId="10" xfId="0" applyFont="1" applyFill="1" applyBorder="1" applyAlignment="1">
      <alignment horizontal="center"/>
    </xf>
    <xf numFmtId="0" fontId="32" fillId="14" borderId="14" xfId="0" applyFont="1" applyFill="1" applyBorder="1" applyAlignment="1">
      <alignment horizontal="center"/>
    </xf>
    <xf numFmtId="0" fontId="0" fillId="12" borderId="9" xfId="0" applyFill="1" applyBorder="1" applyAlignment="1">
      <alignment horizontal="center"/>
    </xf>
    <xf numFmtId="0" fontId="0" fillId="0" borderId="9" xfId="0" applyBorder="1"/>
    <xf numFmtId="0" fontId="0" fillId="0" borderId="9" xfId="0" applyBorder="1" applyAlignment="1">
      <alignment horizontal="center"/>
    </xf>
    <xf numFmtId="0" fontId="32" fillId="14" borderId="16" xfId="0" applyFont="1" applyFill="1" applyBorder="1" applyAlignment="1">
      <alignment horizontal="center"/>
    </xf>
    <xf numFmtId="0" fontId="19" fillId="5" borderId="12" xfId="0" applyFont="1" applyFill="1" applyBorder="1"/>
    <xf numFmtId="0" fontId="0" fillId="5" borderId="12" xfId="0" applyFill="1" applyBorder="1"/>
    <xf numFmtId="0" fontId="19" fillId="4" borderId="7" xfId="0" applyFont="1" applyFill="1" applyBorder="1" applyAlignment="1">
      <alignment horizontal="center"/>
    </xf>
    <xf numFmtId="0" fontId="19" fillId="4" borderId="13" xfId="0" applyFont="1" applyFill="1" applyBorder="1" applyAlignment="1">
      <alignment horizontal="center"/>
    </xf>
    <xf numFmtId="0" fontId="17" fillId="4" borderId="6" xfId="0" applyFont="1" applyFill="1" applyBorder="1" applyAlignment="1">
      <alignment horizontal="center"/>
    </xf>
    <xf numFmtId="0" fontId="0" fillId="5" borderId="3" xfId="0" applyFill="1" applyBorder="1"/>
    <xf numFmtId="0" fontId="0" fillId="5" borderId="15" xfId="0" applyFill="1" applyBorder="1"/>
    <xf numFmtId="0" fontId="0" fillId="5" borderId="2" xfId="0" applyFill="1" applyBorder="1"/>
    <xf numFmtId="0" fontId="27" fillId="0" borderId="12" xfId="0" applyFont="1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24" fillId="0" borderId="12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27" fillId="0" borderId="3" xfId="0" applyFont="1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5" xfId="0" applyBorder="1" applyAlignment="1">
      <alignment vertical="center"/>
    </xf>
    <xf numFmtId="0" fontId="0" fillId="0" borderId="2" xfId="0" applyBorder="1" applyAlignment="1">
      <alignment horizontal="center"/>
    </xf>
    <xf numFmtId="0" fontId="1" fillId="4" borderId="13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 applyBorder="1" applyAlignment="1">
      <alignment horizontal="center"/>
    </xf>
    <xf numFmtId="0" fontId="20" fillId="0" borderId="9" xfId="0" applyFont="1" applyFill="1" applyBorder="1" applyAlignment="1">
      <alignment horizontal="center"/>
    </xf>
    <xf numFmtId="0" fontId="0" fillId="0" borderId="9" xfId="0" applyNumberFormat="1" applyFill="1" applyBorder="1" applyAlignment="1">
      <alignment horizontal="center"/>
    </xf>
    <xf numFmtId="0" fontId="31" fillId="0" borderId="9" xfId="0" applyFont="1" applyFill="1" applyBorder="1" applyAlignment="1">
      <alignment horizontal="center"/>
    </xf>
    <xf numFmtId="0" fontId="1" fillId="0" borderId="9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32" fillId="14" borderId="9" xfId="0" applyFont="1" applyFill="1" applyBorder="1" applyAlignment="1">
      <alignment horizontal="center"/>
    </xf>
    <xf numFmtId="0" fontId="0" fillId="4" borderId="0" xfId="0" applyFill="1"/>
    <xf numFmtId="0" fontId="15" fillId="4" borderId="13" xfId="0" applyFont="1" applyFill="1" applyBorder="1" applyAlignment="1">
      <alignment horizontal="center" vertical="top"/>
    </xf>
    <xf numFmtId="0" fontId="15" fillId="4" borderId="5" xfId="0" applyFont="1" applyFill="1" applyBorder="1" applyAlignment="1">
      <alignment horizontal="center" vertical="top"/>
    </xf>
    <xf numFmtId="0" fontId="1" fillId="4" borderId="8" xfId="0" applyFont="1" applyFill="1" applyBorder="1" applyAlignment="1">
      <alignment horizontal="center" vertical="top" wrapText="1"/>
    </xf>
    <xf numFmtId="0" fontId="12" fillId="4" borderId="8" xfId="0" applyFont="1" applyFill="1" applyBorder="1" applyAlignment="1">
      <alignment horizontal="center" vertical="top"/>
    </xf>
    <xf numFmtId="0" fontId="15" fillId="4" borderId="8" xfId="0" applyFont="1" applyFill="1" applyBorder="1" applyAlignment="1">
      <alignment horizontal="center" vertical="top"/>
    </xf>
    <xf numFmtId="0" fontId="1" fillId="4" borderId="13" xfId="0" applyFont="1" applyFill="1" applyBorder="1" applyAlignment="1">
      <alignment horizontal="center" vertical="top"/>
    </xf>
    <xf numFmtId="0" fontId="15" fillId="0" borderId="15" xfId="0" applyFont="1" applyBorder="1" applyAlignment="1">
      <alignment horizontal="center"/>
    </xf>
    <xf numFmtId="0" fontId="15" fillId="4" borderId="4" xfId="0" applyFont="1" applyFill="1" applyBorder="1" applyAlignment="1">
      <alignment horizontal="center" vertical="top"/>
    </xf>
    <xf numFmtId="0" fontId="1" fillId="21" borderId="9" xfId="0" applyFont="1" applyFill="1" applyBorder="1" applyAlignment="1">
      <alignment horizontal="center"/>
    </xf>
    <xf numFmtId="0" fontId="0" fillId="21" borderId="9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17" borderId="9" xfId="0" applyFill="1" applyBorder="1" applyAlignment="1">
      <alignment horizontal="center"/>
    </xf>
    <xf numFmtId="0" fontId="2" fillId="17" borderId="9" xfId="0" applyFont="1" applyFill="1" applyBorder="1" applyAlignment="1">
      <alignment horizontal="center"/>
    </xf>
    <xf numFmtId="0" fontId="3" fillId="17" borderId="9" xfId="0" applyFont="1" applyFill="1" applyBorder="1" applyAlignment="1">
      <alignment horizontal="center"/>
    </xf>
    <xf numFmtId="0" fontId="0" fillId="17" borderId="9" xfId="0" applyFill="1" applyBorder="1" applyAlignment="1">
      <alignment horizontal="center" wrapText="1"/>
    </xf>
    <xf numFmtId="0" fontId="14" fillId="17" borderId="9" xfId="0" applyFont="1" applyFill="1" applyBorder="1" applyAlignment="1">
      <alignment horizontal="center" vertical="center"/>
    </xf>
    <xf numFmtId="0" fontId="0" fillId="19" borderId="9" xfId="0" applyFill="1" applyBorder="1" applyAlignment="1">
      <alignment horizontal="center"/>
    </xf>
    <xf numFmtId="0" fontId="0" fillId="17" borderId="9" xfId="0" applyFill="1" applyBorder="1" applyAlignment="1">
      <alignment horizontal="center" vertical="center"/>
    </xf>
    <xf numFmtId="0" fontId="0" fillId="13" borderId="9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8" borderId="11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14" fillId="17" borderId="9" xfId="0" applyFont="1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27" fillId="2" borderId="9" xfId="0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20" fillId="13" borderId="9" xfId="0" applyFont="1" applyFill="1" applyBorder="1" applyAlignment="1">
      <alignment horizontal="center"/>
    </xf>
    <xf numFmtId="0" fontId="0" fillId="8" borderId="9" xfId="0" applyFill="1" applyBorder="1" applyAlignment="1">
      <alignment horizontal="center"/>
    </xf>
    <xf numFmtId="0" fontId="31" fillId="8" borderId="9" xfId="0" applyFont="1" applyFill="1" applyBorder="1" applyAlignment="1">
      <alignment horizontal="center"/>
    </xf>
    <xf numFmtId="0" fontId="0" fillId="13" borderId="9" xfId="0" applyFill="1" applyBorder="1" applyAlignment="1">
      <alignment horizontal="left"/>
    </xf>
    <xf numFmtId="0" fontId="5" fillId="13" borderId="9" xfId="0" applyFont="1" applyFill="1" applyBorder="1" applyAlignment="1">
      <alignment horizontal="left"/>
    </xf>
    <xf numFmtId="0" fontId="0" fillId="13" borderId="9" xfId="0" applyFill="1" applyBorder="1" applyAlignment="1">
      <alignment horizontal="center" vertical="center"/>
    </xf>
    <xf numFmtId="0" fontId="14" fillId="13" borderId="9" xfId="0" applyFont="1" applyFill="1" applyBorder="1" applyAlignment="1">
      <alignment horizontal="center"/>
    </xf>
    <xf numFmtId="0" fontId="26" fillId="2" borderId="9" xfId="0" applyFont="1" applyFill="1" applyBorder="1" applyAlignment="1">
      <alignment horizontal="center"/>
    </xf>
    <xf numFmtId="0" fontId="30" fillId="2" borderId="9" xfId="0" applyFont="1" applyFill="1" applyBorder="1" applyAlignment="1">
      <alignment horizontal="center"/>
    </xf>
    <xf numFmtId="0" fontId="13" fillId="15" borderId="9" xfId="0" applyFont="1" applyFill="1" applyBorder="1" applyAlignment="1">
      <alignment horizontal="center" wrapText="1"/>
    </xf>
    <xf numFmtId="0" fontId="0" fillId="15" borderId="9" xfId="0" applyFill="1" applyBorder="1" applyAlignment="1">
      <alignment horizontal="center" wrapText="1"/>
    </xf>
    <xf numFmtId="0" fontId="19" fillId="13" borderId="9" xfId="0" applyFont="1" applyFill="1" applyBorder="1" applyAlignment="1">
      <alignment horizontal="center"/>
    </xf>
    <xf numFmtId="0" fontId="15" fillId="13" borderId="9" xfId="0" applyFont="1" applyFill="1" applyBorder="1" applyAlignment="1">
      <alignment horizontal="center"/>
    </xf>
    <xf numFmtId="0" fontId="19" fillId="13" borderId="10" xfId="0" applyFont="1" applyFill="1" applyBorder="1" applyAlignment="1">
      <alignment horizontal="center"/>
    </xf>
    <xf numFmtId="0" fontId="19" fillId="13" borderId="11" xfId="0" applyFont="1" applyFill="1" applyBorder="1" applyAlignment="1">
      <alignment horizontal="center"/>
    </xf>
    <xf numFmtId="0" fontId="19" fillId="13" borderId="12" xfId="0" applyFont="1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0" borderId="9" xfId="0" applyBorder="1"/>
    <xf numFmtId="0" fontId="0" fillId="0" borderId="9" xfId="0" applyBorder="1" applyAlignment="1">
      <alignment horizontal="center"/>
    </xf>
    <xf numFmtId="0" fontId="24" fillId="18" borderId="9" xfId="0" applyFont="1" applyFill="1" applyBorder="1" applyAlignment="1">
      <alignment horizontal="center"/>
    </xf>
    <xf numFmtId="0" fontId="32" fillId="14" borderId="10" xfId="0" applyFont="1" applyFill="1" applyBorder="1" applyAlignment="1">
      <alignment horizontal="center"/>
    </xf>
    <xf numFmtId="0" fontId="32" fillId="14" borderId="11" xfId="0" applyFont="1" applyFill="1" applyBorder="1" applyAlignment="1">
      <alignment horizontal="center"/>
    </xf>
    <xf numFmtId="0" fontId="32" fillId="14" borderId="12" xfId="0" applyFont="1" applyFill="1" applyBorder="1" applyAlignment="1">
      <alignment horizontal="center"/>
    </xf>
    <xf numFmtId="0" fontId="20" fillId="0" borderId="10" xfId="0" applyFont="1" applyFill="1" applyBorder="1" applyAlignment="1">
      <alignment horizontal="center"/>
    </xf>
    <xf numFmtId="0" fontId="20" fillId="0" borderId="11" xfId="0" applyFont="1" applyFill="1" applyBorder="1" applyAlignment="1">
      <alignment horizontal="center"/>
    </xf>
    <xf numFmtId="0" fontId="20" fillId="0" borderId="12" xfId="0" applyFont="1" applyFill="1" applyBorder="1" applyAlignment="1">
      <alignment horizontal="center"/>
    </xf>
    <xf numFmtId="0" fontId="14" fillId="0" borderId="0" xfId="0" applyFont="1" applyFill="1" applyAlignment="1">
      <alignment horizontal="center"/>
    </xf>
  </cellXfs>
  <cellStyles count="1">
    <cellStyle name="Normalny" xfId="0" builtinId="0"/>
  </cellStyles>
  <dxfs count="30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6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14999847407452621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6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27BF6C"/>
      <color rgb="FFF4CC20"/>
      <color rgb="FFFFFF99"/>
      <color rgb="FF4841D3"/>
      <color rgb="FF74E89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Stats!$A$9</c:f>
              <c:strCache>
                <c:ptCount val="1"/>
                <c:pt idx="0">
                  <c:v>death meetings</c:v>
                </c:pt>
              </c:strCache>
            </c:strRef>
          </c:tx>
          <c:invertIfNegative val="0"/>
          <c:cat>
            <c:numRef>
              <c:f>Stats!$L$20:$O$20</c:f>
              <c:numCache>
                <c:formatCode>General</c:formatCode>
                <c:ptCount val="4"/>
              </c:numCache>
            </c:numRef>
          </c:cat>
          <c:val>
            <c:numRef>
              <c:f>Stats!$L$21:$O$21</c:f>
              <c:numCache>
                <c:formatCode>General</c:formatCode>
                <c:ptCount val="4"/>
                <c:pt idx="0">
                  <c:v>0</c:v>
                </c:pt>
              </c:numCache>
            </c:numRef>
          </c:val>
        </c:ser>
        <c:ser>
          <c:idx val="1"/>
          <c:order val="1"/>
          <c:tx>
            <c:strRef>
              <c:f>Stats!$E$9</c:f>
              <c:strCache>
                <c:ptCount val="1"/>
                <c:pt idx="0">
                  <c:v>dice</c:v>
                </c:pt>
              </c:strCache>
            </c:strRef>
          </c:tx>
          <c:invertIfNegative val="0"/>
          <c:cat>
            <c:numRef>
              <c:f>Stats!$L$20:$O$20</c:f>
              <c:numCache>
                <c:formatCode>General</c:formatCode>
                <c:ptCount val="4"/>
              </c:numCache>
            </c:numRef>
          </c:cat>
          <c:val>
            <c:numRef>
              <c:f>Stats!$L$22:$O$22</c:f>
              <c:numCache>
                <c:formatCode>General</c:formatCode>
                <c:ptCount val="4"/>
                <c:pt idx="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9049856"/>
        <c:axId val="153372352"/>
      </c:barChart>
      <c:catAx>
        <c:axId val="229049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pl-PL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72352"/>
        <c:crosses val="autoZero"/>
        <c:auto val="1"/>
        <c:lblAlgn val="ctr"/>
        <c:lblOffset val="100"/>
        <c:noMultiLvlLbl val="0"/>
      </c:catAx>
      <c:valAx>
        <c:axId val="1533723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pl-PL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049856"/>
        <c:crosses val="autoZero"/>
        <c:crossBetween val="between"/>
      </c:valAx>
    </c:plotArea>
    <c:legend>
      <c:legendPos val="r"/>
      <c:overlay val="0"/>
      <c:txPr>
        <a:bodyPr rot="0" spcFirstLastPara="0" vertOverflow="ellipsis" vert="horz" wrap="square" anchor="ctr" anchorCtr="1"/>
        <a:lstStyle/>
        <a:p>
          <a:pPr>
            <a:defRPr lang="pl-PL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dacbdb3-1e1d-4f74-a75a-5499821e543a}"/>
      </c:ext>
    </c:extLst>
  </c:chart>
  <c:txPr>
    <a:bodyPr/>
    <a:lstStyle/>
    <a:p>
      <a:pPr>
        <a:defRPr lang="pl-PL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trlProps/ctrlProp1.xml><?xml version="1.0" encoding="utf-8"?>
<formControlPr xmlns="http://schemas.microsoft.com/office/spreadsheetml/2009/9/main" objectType="CheckBox" fmlaLink="meta!$A$1" lockText="1" noThreeD="1"/>
</file>

<file path=xl/ctrlProps/ctrlProp2.xml><?xml version="1.0" encoding="utf-8"?>
<formControlPr xmlns="http://schemas.microsoft.com/office/spreadsheetml/2009/9/main" objectType="CheckBox" fmlaLink="meta!$A$2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13</xdr:col>
      <xdr:colOff>520303</xdr:colOff>
      <xdr:row>32</xdr:row>
      <xdr:rowOff>72926</xdr:rowOff>
    </xdr:to>
    <xdr:graphicFrame macro="">
      <xdr:nvGraphicFramePr>
        <xdr:cNvPr id="2" name="Wykres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876300</xdr:colOff>
          <xdr:row>0</xdr:row>
          <xdr:rowOff>47625</xdr:rowOff>
        </xdr:from>
        <xdr:to>
          <xdr:col>14</xdr:col>
          <xdr:colOff>371475</xdr:colOff>
          <xdr:row>2</xdr:row>
          <xdr:rowOff>0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276225</xdr:colOff>
          <xdr:row>7</xdr:row>
          <xdr:rowOff>180975</xdr:rowOff>
        </xdr:from>
        <xdr:to>
          <xdr:col>15</xdr:col>
          <xdr:colOff>19050</xdr:colOff>
          <xdr:row>9</xdr:row>
          <xdr:rowOff>19050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iktor" refreshedDate="45894.529843171294" createdVersion="4" refreshedVersion="4" minRefreshableVersion="3" recordCount="27">
  <cacheSource type="worksheet">
    <worksheetSource ref="U13:X40" sheet="meta"/>
  </cacheSource>
  <cacheFields count="4">
    <cacheField name="lvl req" numFmtId="0">
      <sharedItems containsSemiMixedTypes="0" containsString="0" containsNumber="1" containsInteger="1" minValue="20" maxValue="20"/>
    </cacheField>
    <cacheField name="klasa" numFmtId="0">
      <sharedItems count="31">
        <s v="chemist"/>
        <s v="artificer"/>
        <s v="scientist"/>
        <s v="zoologist"/>
        <s v="druid"/>
        <s v="shaman"/>
        <s v="warlock"/>
        <s v="wizard"/>
        <s v="sorcerer"/>
        <s v="berserker"/>
        <s v="bard"/>
        <s v="commander"/>
        <s v="spy"/>
        <s v="shadow"/>
        <s v="rouge"/>
        <s v="paladin"/>
        <s v="Guardian"/>
        <s v="samurai"/>
        <s v="longbow"/>
        <s v="magical archer"/>
        <s v="crossbow"/>
        <s v="trapper"/>
        <s v="tube shooter"/>
        <s v="pirate"/>
        <s v="marksman"/>
        <s v="engineer"/>
        <s v="bounty hunter"/>
        <s v="musiscian" u="1"/>
        <s v="alchemist" u="1"/>
        <s v="crosbowmaster" u="1"/>
        <s v="shadow adepti" u="1"/>
      </sharedItems>
    </cacheField>
    <cacheField name="typ klasy" numFmtId="0">
      <sharedItems containsSemiMixedTypes="0" containsString="0" containsNumber="1" containsInteger="1" minValue="1" maxValue="3"/>
    </cacheField>
    <cacheField name="poprzednia klasa" numFmtId="0">
      <sharedItems count="11">
        <s v="sage"/>
        <s v="veterian"/>
        <s v="mage"/>
        <s v="barbarian"/>
        <s v="ninja"/>
        <s v="knight"/>
        <s v="archer"/>
        <s v="hunter"/>
        <s v="gunslinger"/>
        <s v="chemist" u="1"/>
        <s v="crossbow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Wiktor" refreshedDate="45927.48843229167" createdVersion="4" refreshedVersion="4" minRefreshableVersion="3" recordCount="9">
  <cacheSource type="worksheet">
    <worksheetSource ref="Y1:AB10" sheet="meta"/>
  </cacheSource>
  <cacheFields count="4">
    <cacheField name="lvl req" numFmtId="0">
      <sharedItems containsSemiMixedTypes="0" containsString="0" containsNumber="1" containsInteger="1" minValue="8" maxValue="8"/>
    </cacheField>
    <cacheField name="klasa" numFmtId="0">
      <sharedItems count="11">
        <s v="sage"/>
        <s v="veterian"/>
        <s v="mage"/>
        <s v="barbarian"/>
        <s v="ninja"/>
        <s v="knight"/>
        <s v="archer"/>
        <s v="hunter"/>
        <s v="gunslinger"/>
        <s v="crossbow" u="1"/>
        <s v="chemist" u="1"/>
      </sharedItems>
    </cacheField>
    <cacheField name="typ klasy" numFmtId="0">
      <sharedItems containsSemiMixedTypes="0" containsString="0" containsNumber="1" containsInteger="1" minValue="1" maxValue="3"/>
    </cacheField>
    <cacheField name="indeks klas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Użytkownik systemu Windows" refreshedDate="45944.714168634258" createdVersion="4" refreshedVersion="4" minRefreshableVersion="3" recordCount="65">
  <cacheSource type="worksheet">
    <worksheetSource ref="C1:I66" sheet="meta"/>
  </cacheSource>
  <cacheFields count="7">
    <cacheField name="modyfikator -&gt;" numFmtId="0">
      <sharedItems count="65">
        <s v="Rasa  VVV"/>
        <s v="human"/>
        <s v="elf"/>
        <s v="dwarf"/>
        <s v="halfling"/>
        <s v="undead skeleton"/>
        <s v="undead vampire"/>
        <s v="undead banshee"/>
        <s v="undead wraith"/>
        <s v="undead zombie"/>
        <s v="undead werewolf"/>
        <s v="undead ghost"/>
        <s v="undead  mummy"/>
        <s v="undead lich "/>
        <s v="ents oak"/>
        <s v="ents baobab"/>
        <s v="ents spruce"/>
        <s v="entc willow"/>
        <s v="ent cherry "/>
        <s v="ent birch"/>
        <s v="ent pine"/>
        <s v="ent maple"/>
        <s v="ent cypress"/>
        <s v="ent chestnut"/>
        <s v="ent Yew"/>
        <s v="ent sequoia"/>
        <s v="fairy"/>
        <s v="Thiefling"/>
        <s v="Dracon"/>
        <s v="Goblin"/>
        <s v="Ork"/>
        <s v="Gnoll"/>
        <s v="Tabaxi"/>
        <s v="Waterling"/>
        <s v="construct Golem"/>
        <s v="construct Gargoyle"/>
        <s v="construct mimic"/>
        <s v="construct Doll/toys"/>
        <s v="Half-elf"/>
        <s v="Snakeors"/>
        <s v="Drow"/>
        <s v="Frostling"/>
        <s v="demon avoken "/>
        <s v="demon waxer"/>
        <s v="demon hidhorn"/>
        <s v="demon matynion"/>
        <s v="demon Gorger"/>
        <s v="demon Morsel"/>
        <s v="demon dragonborn"/>
        <s v="demon banish"/>
        <s v="demon underlegion"/>
        <s v="demon lazaring"/>
        <s v="demon lunar"/>
        <s v="demon wurmkin"/>
        <s v="Mediatoneers"/>
        <s v="Paltonins"/>
        <s v="Serpentors"/>
        <s v="pyronians"/>
        <s v="athernos"/>
        <s v="forestos"/>
        <s v="Departos"/>
        <s v="neronians"/>
        <s v="humaos"/>
        <s v="opatos"/>
        <s v="Minion"/>
      </sharedItems>
    </cacheField>
    <cacheField name="allighment" numFmtId="0">
      <sharedItems containsString="0" containsBlank="1" containsNumber="1" containsInteger="1" minValue="0" maxValue="2" count="4">
        <m/>
        <n v="1"/>
        <n v="0"/>
        <n v="2"/>
      </sharedItems>
    </cacheField>
    <cacheField name="strength" numFmtId="0">
      <sharedItems containsMixedTypes="1" containsNumber="1" containsInteger="1" minValue="-2" maxValue="10" count="12">
        <s v="x"/>
        <n v="2"/>
        <n v="1"/>
        <n v="4"/>
        <n v="0"/>
        <n v="3"/>
        <n v="-2"/>
        <n v="5"/>
        <n v="6"/>
        <n v="-1"/>
        <n v="10"/>
        <n v="7"/>
      </sharedItems>
    </cacheField>
    <cacheField name="agility" numFmtId="0">
      <sharedItems containsMixedTypes="1" containsNumber="1" containsInteger="1" minValue="-6" maxValue="5" count="11">
        <s v="x"/>
        <n v="2"/>
        <n v="3"/>
        <n v="0"/>
        <n v="1"/>
        <n v="4"/>
        <n v="-1"/>
        <n v="5"/>
        <n v="-6"/>
        <n v="-4"/>
        <n v="-2"/>
      </sharedItems>
    </cacheField>
    <cacheField name="charisma" numFmtId="0">
      <sharedItems containsMixedTypes="1" containsNumber="1" containsInteger="1" minValue="-3" maxValue="7" count="11">
        <s v="x"/>
        <n v="0"/>
        <n v="2"/>
        <n v="1"/>
        <n v="3"/>
        <n v="-1"/>
        <n v="7"/>
        <n v="5"/>
        <n v="4"/>
        <n v="-2"/>
        <n v="-3"/>
      </sharedItems>
    </cacheField>
    <cacheField name="wisdom" numFmtId="0">
      <sharedItems containsMixedTypes="1" containsNumber="1" containsInteger="1" minValue="-4" maxValue="7" count="10">
        <s v="x"/>
        <n v="1"/>
        <n v="3"/>
        <n v="2"/>
        <n v="0"/>
        <n v="4"/>
        <n v="-4"/>
        <n v="-1"/>
        <n v="7"/>
        <n v="5"/>
      </sharedItems>
    </cacheField>
    <cacheField name="Spec ability" numFmtId="0">
      <sharedItems containsBlank="1" count="17">
        <m/>
        <s v="reconstruction - doesn't lose abysal energy for returning"/>
        <s v="death affinity (bonus to resurection spells/magic)"/>
        <s v="Quick recovery (passive healing of hp)"/>
        <s v="Deathless (considered undead ent, immune to death spells/ poisons/ acids)"/>
        <s v="Monument (every action must be preceded by willpower test)"/>
        <s v="Small - +1 sukces do wszytkiego z ag"/>
        <s v="malfunction (electric, water, earth magic - stuns)"/>
        <s v="weak legs (must use fly/wings to move can't fly non stop)"/>
        <s v="variable (depending on a toy type can do various things"/>
        <s v="żyły z żywiołów - ziemia, ogien"/>
        <s v="union of need (bonus do testów w grupie morseli)"/>
        <s v="uncontrolable greed - can't posess antyhing but money , spening money = test willpower)"/>
        <s v="merge (underlegions can merge forming packs capable of much more)"/>
        <s v="graft"/>
        <s v="Cute - nie można zaatakować"/>
        <s v="aura xp -0,5 *xp sojuszników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Użytkownik systemu Windows" refreshedDate="46092.661121643519" createdVersion="4" refreshedVersion="4" minRefreshableVersion="3" recordCount="3">
  <cacheSource type="worksheet">
    <worksheetSource ref="U1:W4" sheet="meta"/>
  </cacheSource>
  <cacheFields count="3">
    <cacheField name="lvl req" numFmtId="0">
      <sharedItems containsSemiMixedTypes="0" containsString="0" containsNumber="1" containsInteger="1" minValue="4" maxValue="4"/>
    </cacheField>
    <cacheField name="klasa" numFmtId="0">
      <sharedItems count="4">
        <s v="Adept"/>
        <s v="Sword"/>
        <s v="Ranger"/>
        <s v="Hearber" u="1"/>
      </sharedItems>
    </cacheField>
    <cacheField name="typ klasy" numFmtId="0">
      <sharedItems containsSemiMixedTypes="0" containsString="0" containsNumber="1" containsInteger="1" minValue="1" maxValue="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7">
  <r>
    <n v="20"/>
    <x v="0"/>
    <n v="1"/>
    <x v="0"/>
  </r>
  <r>
    <n v="20"/>
    <x v="1"/>
    <n v="1"/>
    <x v="0"/>
  </r>
  <r>
    <n v="20"/>
    <x v="2"/>
    <n v="1"/>
    <x v="0"/>
  </r>
  <r>
    <n v="20"/>
    <x v="3"/>
    <n v="1"/>
    <x v="1"/>
  </r>
  <r>
    <n v="20"/>
    <x v="4"/>
    <n v="1"/>
    <x v="1"/>
  </r>
  <r>
    <n v="20"/>
    <x v="5"/>
    <n v="1"/>
    <x v="1"/>
  </r>
  <r>
    <n v="20"/>
    <x v="6"/>
    <n v="1"/>
    <x v="2"/>
  </r>
  <r>
    <n v="20"/>
    <x v="7"/>
    <n v="1"/>
    <x v="2"/>
  </r>
  <r>
    <n v="20"/>
    <x v="8"/>
    <n v="1"/>
    <x v="2"/>
  </r>
  <r>
    <n v="20"/>
    <x v="9"/>
    <n v="2"/>
    <x v="3"/>
  </r>
  <r>
    <n v="20"/>
    <x v="10"/>
    <n v="2"/>
    <x v="3"/>
  </r>
  <r>
    <n v="20"/>
    <x v="11"/>
    <n v="2"/>
    <x v="3"/>
  </r>
  <r>
    <n v="20"/>
    <x v="12"/>
    <n v="2"/>
    <x v="4"/>
  </r>
  <r>
    <n v="20"/>
    <x v="13"/>
    <n v="2"/>
    <x v="4"/>
  </r>
  <r>
    <n v="20"/>
    <x v="14"/>
    <n v="2"/>
    <x v="4"/>
  </r>
  <r>
    <n v="20"/>
    <x v="15"/>
    <n v="2"/>
    <x v="5"/>
  </r>
  <r>
    <n v="20"/>
    <x v="16"/>
    <n v="2"/>
    <x v="5"/>
  </r>
  <r>
    <n v="20"/>
    <x v="17"/>
    <n v="2"/>
    <x v="5"/>
  </r>
  <r>
    <n v="20"/>
    <x v="18"/>
    <n v="3"/>
    <x v="6"/>
  </r>
  <r>
    <n v="20"/>
    <x v="19"/>
    <n v="3"/>
    <x v="6"/>
  </r>
  <r>
    <n v="20"/>
    <x v="20"/>
    <n v="3"/>
    <x v="6"/>
  </r>
  <r>
    <n v="20"/>
    <x v="21"/>
    <n v="3"/>
    <x v="7"/>
  </r>
  <r>
    <n v="20"/>
    <x v="22"/>
    <n v="3"/>
    <x v="7"/>
  </r>
  <r>
    <n v="20"/>
    <x v="23"/>
    <n v="3"/>
    <x v="7"/>
  </r>
  <r>
    <n v="20"/>
    <x v="24"/>
    <n v="3"/>
    <x v="8"/>
  </r>
  <r>
    <n v="20"/>
    <x v="25"/>
    <n v="3"/>
    <x v="8"/>
  </r>
  <r>
    <n v="20"/>
    <x v="26"/>
    <n v="3"/>
    <x v="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9">
  <r>
    <n v="8"/>
    <x v="0"/>
    <n v="1"/>
    <s v="s"/>
  </r>
  <r>
    <n v="8"/>
    <x v="1"/>
    <n v="1"/>
    <s v="v"/>
  </r>
  <r>
    <n v="8"/>
    <x v="2"/>
    <n v="1"/>
    <s v="m"/>
  </r>
  <r>
    <n v="8"/>
    <x v="3"/>
    <n v="2"/>
    <s v="b"/>
  </r>
  <r>
    <n v="8"/>
    <x v="4"/>
    <n v="2"/>
    <s v="n"/>
  </r>
  <r>
    <n v="8"/>
    <x v="5"/>
    <n v="2"/>
    <s v="k"/>
  </r>
  <r>
    <n v="8"/>
    <x v="6"/>
    <n v="3"/>
    <s v="a"/>
  </r>
  <r>
    <n v="8"/>
    <x v="7"/>
    <n v="3"/>
    <s v="h"/>
  </r>
  <r>
    <n v="8"/>
    <x v="8"/>
    <n v="3"/>
    <s v="g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65">
  <r>
    <x v="0"/>
    <x v="0"/>
    <x v="0"/>
    <x v="0"/>
    <x v="0"/>
    <x v="0"/>
    <x v="0"/>
  </r>
  <r>
    <x v="1"/>
    <x v="1"/>
    <x v="1"/>
    <x v="1"/>
    <x v="1"/>
    <x v="1"/>
    <x v="0"/>
  </r>
  <r>
    <x v="2"/>
    <x v="1"/>
    <x v="2"/>
    <x v="2"/>
    <x v="2"/>
    <x v="2"/>
    <x v="0"/>
  </r>
  <r>
    <x v="3"/>
    <x v="1"/>
    <x v="3"/>
    <x v="3"/>
    <x v="3"/>
    <x v="3"/>
    <x v="0"/>
  </r>
  <r>
    <x v="4"/>
    <x v="1"/>
    <x v="2"/>
    <x v="4"/>
    <x v="3"/>
    <x v="1"/>
    <x v="0"/>
  </r>
  <r>
    <x v="5"/>
    <x v="2"/>
    <x v="2"/>
    <x v="1"/>
    <x v="1"/>
    <x v="4"/>
    <x v="1"/>
  </r>
  <r>
    <x v="6"/>
    <x v="2"/>
    <x v="2"/>
    <x v="4"/>
    <x v="4"/>
    <x v="3"/>
    <x v="0"/>
  </r>
  <r>
    <x v="7"/>
    <x v="2"/>
    <x v="4"/>
    <x v="1"/>
    <x v="1"/>
    <x v="3"/>
    <x v="0"/>
  </r>
  <r>
    <x v="8"/>
    <x v="2"/>
    <x v="1"/>
    <x v="1"/>
    <x v="5"/>
    <x v="3"/>
    <x v="0"/>
  </r>
  <r>
    <x v="9"/>
    <x v="2"/>
    <x v="5"/>
    <x v="1"/>
    <x v="5"/>
    <x v="4"/>
    <x v="0"/>
  </r>
  <r>
    <x v="10"/>
    <x v="2"/>
    <x v="3"/>
    <x v="1"/>
    <x v="5"/>
    <x v="4"/>
    <x v="0"/>
  </r>
  <r>
    <x v="11"/>
    <x v="2"/>
    <x v="6"/>
    <x v="5"/>
    <x v="1"/>
    <x v="2"/>
    <x v="0"/>
  </r>
  <r>
    <x v="12"/>
    <x v="2"/>
    <x v="3"/>
    <x v="3"/>
    <x v="1"/>
    <x v="3"/>
    <x v="0"/>
  </r>
  <r>
    <x v="13"/>
    <x v="2"/>
    <x v="4"/>
    <x v="3"/>
    <x v="1"/>
    <x v="1"/>
    <x v="2"/>
  </r>
  <r>
    <x v="14"/>
    <x v="1"/>
    <x v="5"/>
    <x v="1"/>
    <x v="2"/>
    <x v="3"/>
    <x v="0"/>
  </r>
  <r>
    <x v="15"/>
    <x v="1"/>
    <x v="7"/>
    <x v="6"/>
    <x v="3"/>
    <x v="5"/>
    <x v="0"/>
  </r>
  <r>
    <x v="16"/>
    <x v="1"/>
    <x v="1"/>
    <x v="4"/>
    <x v="4"/>
    <x v="2"/>
    <x v="0"/>
  </r>
  <r>
    <x v="17"/>
    <x v="1"/>
    <x v="4"/>
    <x v="7"/>
    <x v="2"/>
    <x v="3"/>
    <x v="0"/>
  </r>
  <r>
    <x v="18"/>
    <x v="1"/>
    <x v="2"/>
    <x v="3"/>
    <x v="6"/>
    <x v="1"/>
    <x v="0"/>
  </r>
  <r>
    <x v="19"/>
    <x v="1"/>
    <x v="1"/>
    <x v="1"/>
    <x v="4"/>
    <x v="6"/>
    <x v="3"/>
  </r>
  <r>
    <x v="20"/>
    <x v="1"/>
    <x v="8"/>
    <x v="3"/>
    <x v="1"/>
    <x v="2"/>
    <x v="0"/>
  </r>
  <r>
    <x v="21"/>
    <x v="1"/>
    <x v="1"/>
    <x v="6"/>
    <x v="7"/>
    <x v="3"/>
    <x v="0"/>
  </r>
  <r>
    <x v="22"/>
    <x v="1"/>
    <x v="5"/>
    <x v="3"/>
    <x v="1"/>
    <x v="5"/>
    <x v="0"/>
  </r>
  <r>
    <x v="23"/>
    <x v="1"/>
    <x v="3"/>
    <x v="1"/>
    <x v="8"/>
    <x v="7"/>
    <x v="0"/>
  </r>
  <r>
    <x v="24"/>
    <x v="1"/>
    <x v="5"/>
    <x v="8"/>
    <x v="4"/>
    <x v="2"/>
    <x v="4"/>
  </r>
  <r>
    <x v="25"/>
    <x v="1"/>
    <x v="7"/>
    <x v="9"/>
    <x v="6"/>
    <x v="8"/>
    <x v="5"/>
  </r>
  <r>
    <x v="26"/>
    <x v="1"/>
    <x v="6"/>
    <x v="2"/>
    <x v="3"/>
    <x v="1"/>
    <x v="6"/>
  </r>
  <r>
    <x v="27"/>
    <x v="2"/>
    <x v="1"/>
    <x v="4"/>
    <x v="8"/>
    <x v="3"/>
    <x v="0"/>
  </r>
  <r>
    <x v="28"/>
    <x v="1"/>
    <x v="3"/>
    <x v="1"/>
    <x v="2"/>
    <x v="2"/>
    <x v="0"/>
  </r>
  <r>
    <x v="29"/>
    <x v="2"/>
    <x v="2"/>
    <x v="2"/>
    <x v="3"/>
    <x v="1"/>
    <x v="0"/>
  </r>
  <r>
    <x v="30"/>
    <x v="2"/>
    <x v="3"/>
    <x v="5"/>
    <x v="3"/>
    <x v="4"/>
    <x v="0"/>
  </r>
  <r>
    <x v="31"/>
    <x v="2"/>
    <x v="5"/>
    <x v="5"/>
    <x v="9"/>
    <x v="7"/>
    <x v="0"/>
  </r>
  <r>
    <x v="32"/>
    <x v="1"/>
    <x v="9"/>
    <x v="7"/>
    <x v="2"/>
    <x v="4"/>
    <x v="0"/>
  </r>
  <r>
    <x v="33"/>
    <x v="1"/>
    <x v="2"/>
    <x v="1"/>
    <x v="3"/>
    <x v="1"/>
    <x v="0"/>
  </r>
  <r>
    <x v="34"/>
    <x v="1"/>
    <x v="3"/>
    <x v="5"/>
    <x v="1"/>
    <x v="2"/>
    <x v="7"/>
  </r>
  <r>
    <x v="35"/>
    <x v="1"/>
    <x v="5"/>
    <x v="2"/>
    <x v="4"/>
    <x v="2"/>
    <x v="8"/>
  </r>
  <r>
    <x v="36"/>
    <x v="2"/>
    <x v="2"/>
    <x v="5"/>
    <x v="2"/>
    <x v="1"/>
    <x v="0"/>
  </r>
  <r>
    <x v="37"/>
    <x v="1"/>
    <x v="6"/>
    <x v="10"/>
    <x v="7"/>
    <x v="1"/>
    <x v="9"/>
  </r>
  <r>
    <x v="38"/>
    <x v="1"/>
    <x v="2"/>
    <x v="1"/>
    <x v="3"/>
    <x v="3"/>
    <x v="0"/>
  </r>
  <r>
    <x v="39"/>
    <x v="2"/>
    <x v="4"/>
    <x v="2"/>
    <x v="3"/>
    <x v="3"/>
    <x v="0"/>
  </r>
  <r>
    <x v="40"/>
    <x v="2"/>
    <x v="2"/>
    <x v="2"/>
    <x v="4"/>
    <x v="3"/>
    <x v="0"/>
  </r>
  <r>
    <x v="41"/>
    <x v="2"/>
    <x v="3"/>
    <x v="5"/>
    <x v="5"/>
    <x v="5"/>
    <x v="0"/>
  </r>
  <r>
    <x v="42"/>
    <x v="2"/>
    <x v="5"/>
    <x v="4"/>
    <x v="2"/>
    <x v="3"/>
    <x v="0"/>
  </r>
  <r>
    <x v="43"/>
    <x v="2"/>
    <x v="2"/>
    <x v="4"/>
    <x v="3"/>
    <x v="3"/>
    <x v="0"/>
  </r>
  <r>
    <x v="44"/>
    <x v="2"/>
    <x v="7"/>
    <x v="4"/>
    <x v="5"/>
    <x v="2"/>
    <x v="0"/>
  </r>
  <r>
    <x v="45"/>
    <x v="2"/>
    <x v="4"/>
    <x v="2"/>
    <x v="4"/>
    <x v="9"/>
    <x v="0"/>
  </r>
  <r>
    <x v="46"/>
    <x v="2"/>
    <x v="10"/>
    <x v="1"/>
    <x v="5"/>
    <x v="3"/>
    <x v="10"/>
  </r>
  <r>
    <x v="47"/>
    <x v="2"/>
    <x v="6"/>
    <x v="4"/>
    <x v="3"/>
    <x v="1"/>
    <x v="11"/>
  </r>
  <r>
    <x v="48"/>
    <x v="2"/>
    <x v="11"/>
    <x v="10"/>
    <x v="8"/>
    <x v="5"/>
    <x v="12"/>
  </r>
  <r>
    <x v="49"/>
    <x v="2"/>
    <x v="1"/>
    <x v="1"/>
    <x v="2"/>
    <x v="3"/>
    <x v="0"/>
  </r>
  <r>
    <x v="50"/>
    <x v="2"/>
    <x v="2"/>
    <x v="4"/>
    <x v="1"/>
    <x v="1"/>
    <x v="13"/>
  </r>
  <r>
    <x v="51"/>
    <x v="2"/>
    <x v="1"/>
    <x v="1"/>
    <x v="10"/>
    <x v="3"/>
    <x v="14"/>
  </r>
  <r>
    <x v="52"/>
    <x v="2"/>
    <x v="4"/>
    <x v="2"/>
    <x v="8"/>
    <x v="2"/>
    <x v="0"/>
  </r>
  <r>
    <x v="53"/>
    <x v="2"/>
    <x v="5"/>
    <x v="2"/>
    <x v="2"/>
    <x v="5"/>
    <x v="0"/>
  </r>
  <r>
    <x v="54"/>
    <x v="3"/>
    <x v="4"/>
    <x v="4"/>
    <x v="1"/>
    <x v="1"/>
    <x v="15"/>
  </r>
  <r>
    <x v="55"/>
    <x v="3"/>
    <x v="2"/>
    <x v="10"/>
    <x v="7"/>
    <x v="3"/>
    <x v="0"/>
  </r>
  <r>
    <x v="56"/>
    <x v="3"/>
    <x v="1"/>
    <x v="1"/>
    <x v="10"/>
    <x v="2"/>
    <x v="0"/>
  </r>
  <r>
    <x v="57"/>
    <x v="2"/>
    <x v="3"/>
    <x v="1"/>
    <x v="3"/>
    <x v="3"/>
    <x v="0"/>
  </r>
  <r>
    <x v="58"/>
    <x v="1"/>
    <x v="3"/>
    <x v="5"/>
    <x v="2"/>
    <x v="3"/>
    <x v="0"/>
  </r>
  <r>
    <x v="59"/>
    <x v="1"/>
    <x v="1"/>
    <x v="2"/>
    <x v="3"/>
    <x v="2"/>
    <x v="0"/>
  </r>
  <r>
    <x v="60"/>
    <x v="2"/>
    <x v="5"/>
    <x v="2"/>
    <x v="9"/>
    <x v="3"/>
    <x v="0"/>
  </r>
  <r>
    <x v="61"/>
    <x v="2"/>
    <x v="1"/>
    <x v="1"/>
    <x v="1"/>
    <x v="3"/>
    <x v="0"/>
  </r>
  <r>
    <x v="62"/>
    <x v="1"/>
    <x v="2"/>
    <x v="1"/>
    <x v="1"/>
    <x v="3"/>
    <x v="0"/>
  </r>
  <r>
    <x v="63"/>
    <x v="1"/>
    <x v="9"/>
    <x v="4"/>
    <x v="3"/>
    <x v="3"/>
    <x v="16"/>
  </r>
  <r>
    <x v="64"/>
    <x v="3"/>
    <x v="4"/>
    <x v="3"/>
    <x v="1"/>
    <x v="4"/>
    <x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3">
  <r>
    <n v="4"/>
    <x v="0"/>
    <n v="1"/>
  </r>
  <r>
    <n v="4"/>
    <x v="1"/>
    <n v="2"/>
  </r>
  <r>
    <n v="4"/>
    <x v="2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Tabela przestawna1" cacheId="2" dataOnRows="1" applyNumberFormats="0" applyBorderFormats="0" applyFontFormats="0" applyPatternFormats="0" applyAlignmentFormats="0" applyWidthHeightFormats="1" dataCaption="Race" updatedVersion="4" minRefreshableVersion="3" useAutoFormatting="1" rowGrandTotals="0" colGrandTotals="0" itemPrintTitles="1" createdVersion="4" indent="0" outline="1" outlineData="1" multipleFieldFilters="0">
  <location ref="A27:C33" firstHeaderRow="1" firstDataRow="2" firstDataCol="1"/>
  <pivotFields count="7">
    <pivotField name="modyfikator" axis="axisCol" showAll="0" sortType="descending">
      <items count="66">
        <item h="1" x="33"/>
        <item h="1" x="9"/>
        <item h="1" x="8"/>
        <item h="1" x="10"/>
        <item h="1" x="6"/>
        <item h="1" x="5"/>
        <item h="1" x="13"/>
        <item h="1" x="11"/>
        <item h="1" x="7"/>
        <item h="1" x="12"/>
        <item h="1" x="27"/>
        <item h="1" x="32"/>
        <item h="1" x="39"/>
        <item h="1" x="56"/>
        <item h="1" x="0"/>
        <item h="1" x="57"/>
        <item h="1" x="55"/>
        <item x="30"/>
        <item h="1" x="63"/>
        <item h="1" x="61"/>
        <item h="1" x="64"/>
        <item h="1" x="54"/>
        <item h="1" x="62"/>
        <item h="1" x="1"/>
        <item h="1" x="4"/>
        <item h="1" x="38"/>
        <item h="1" x="29"/>
        <item h="1" x="31"/>
        <item h="1" x="41"/>
        <item h="1" x="59"/>
        <item h="1" x="26"/>
        <item h="1" x="16"/>
        <item h="1" x="14"/>
        <item h="1" x="15"/>
        <item h="1" x="17"/>
        <item h="1" x="24"/>
        <item h="1" x="25"/>
        <item h="1" x="20"/>
        <item h="1" x="21"/>
        <item h="1" x="22"/>
        <item h="1" x="23"/>
        <item h="1" x="18"/>
        <item h="1" x="19"/>
        <item x="2"/>
        <item h="1" x="3"/>
        <item h="1" x="40"/>
        <item h="1" x="28"/>
        <item h="1" x="60"/>
        <item h="1" x="53"/>
        <item h="1" x="43"/>
        <item h="1" x="50"/>
        <item h="1" x="47"/>
        <item h="1" x="45"/>
        <item h="1" x="52"/>
        <item h="1" x="51"/>
        <item h="1" x="44"/>
        <item h="1" x="46"/>
        <item h="1" x="48"/>
        <item h="1" x="49"/>
        <item h="1" x="42"/>
        <item h="1" x="36"/>
        <item h="1" x="34"/>
        <item h="1" x="35"/>
        <item h="1" x="37"/>
        <item h="1" x="58"/>
        <item t="default"/>
      </items>
    </pivotField>
    <pivotField dataField="1" showAll="0">
      <items count="5">
        <item x="2"/>
        <item x="1"/>
        <item x="3"/>
        <item x="0"/>
        <item t="default"/>
      </items>
    </pivotField>
    <pivotField dataField="1" showAll="0">
      <items count="13">
        <item x="6"/>
        <item x="9"/>
        <item x="4"/>
        <item x="2"/>
        <item x="1"/>
        <item x="5"/>
        <item x="3"/>
        <item x="7"/>
        <item x="8"/>
        <item x="11"/>
        <item x="10"/>
        <item x="0"/>
        <item t="default"/>
      </items>
    </pivotField>
    <pivotField dataField="1" showAll="0">
      <items count="12">
        <item x="8"/>
        <item x="9"/>
        <item x="10"/>
        <item x="6"/>
        <item x="3"/>
        <item x="4"/>
        <item x="1"/>
        <item x="2"/>
        <item x="5"/>
        <item x="7"/>
        <item x="0"/>
        <item t="default"/>
      </items>
    </pivotField>
    <pivotField dataField="1" showAll="0">
      <items count="12">
        <item x="10"/>
        <item x="9"/>
        <item x="5"/>
        <item x="1"/>
        <item x="3"/>
        <item x="2"/>
        <item x="4"/>
        <item x="8"/>
        <item x="7"/>
        <item x="6"/>
        <item x="0"/>
        <item t="default"/>
      </items>
    </pivotField>
    <pivotField dataField="1" showAll="0">
      <items count="11">
        <item x="6"/>
        <item x="7"/>
        <item x="4"/>
        <item x="1"/>
        <item x="3"/>
        <item x="2"/>
        <item x="5"/>
        <item x="9"/>
        <item x="8"/>
        <item x="0"/>
        <item t="default"/>
      </items>
    </pivotField>
    <pivotField showAll="0">
      <items count="18">
        <item x="16"/>
        <item x="15"/>
        <item x="2"/>
        <item x="4"/>
        <item x="14"/>
        <item x="7"/>
        <item x="13"/>
        <item x="5"/>
        <item x="3"/>
        <item x="1"/>
        <item x="6"/>
        <item x="12"/>
        <item x="11"/>
        <item x="9"/>
        <item x="8"/>
        <item x="10"/>
        <item x="0"/>
        <item t="default"/>
      </items>
    </pivotField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0"/>
  </colFields>
  <colItems count="2">
    <i>
      <x v="17"/>
    </i>
    <i>
      <x v="43"/>
    </i>
  </colItems>
  <dataFields count="5">
    <dataField name="str" fld="2" baseField="0" baseItem="23"/>
    <dataField name="agi" fld="3" baseField="0" baseItem="23"/>
    <dataField name="char" fld="4" baseField="0" baseItem="23"/>
    <dataField name="wis" fld="5" baseField="0" baseItem="23"/>
    <dataField name=" allighment" fld="1" baseField="0" baseItem="2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przestawna5" cacheId="3" applyNumberFormats="0" applyBorderFormats="0" applyFontFormats="0" applyPatternFormats="0" applyAlignmentFormats="0" applyWidthHeightFormats="1" dataCaption="Wartości" updatedVersion="4" minRefreshableVersion="3" useAutoFormatting="1" rowGrandTotals="0" itemPrintTitles="1" createdVersion="4" indent="0" outline="1" outlineData="1" multipleFieldFilters="0" chartFormat="1">
  <location ref="E28:G29" firstHeaderRow="0" firstDataRow="1" firstDataCol="1"/>
  <pivotFields count="3">
    <pivotField dataField="1" showAll="0"/>
    <pivotField axis="axisRow" showAll="0">
      <items count="5">
        <item h="1" m="1" x="3"/>
        <item h="1" x="2"/>
        <item x="1"/>
        <item h="1" x="0"/>
        <item t="default"/>
      </items>
    </pivotField>
    <pivotField dataField="1" showAll="0"/>
  </pivotFields>
  <rowFields count="1">
    <field x="1"/>
  </rowFields>
  <rowItems count="1">
    <i>
      <x v="2"/>
    </i>
  </rowItems>
  <colFields count="1">
    <field x="-2"/>
  </colFields>
  <colItems count="2">
    <i>
      <x/>
    </i>
    <i i="1">
      <x v="1"/>
    </i>
  </colItems>
  <dataFields count="2">
    <dataField name="numer klasy" fld="2" baseField="1" baseItem="0"/>
    <dataField name="rank up lvl" fld="0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ela przestawna3" cacheId="0" applyNumberFormats="0" applyBorderFormats="0" applyFontFormats="0" applyPatternFormats="0" applyAlignmentFormats="0" applyWidthHeightFormats="1" dataCaption="Wartości" updatedVersion="4" minRefreshableVersion="3" useAutoFormatting="1" rowGrandTotals="0" itemPrintTitles="1" createdVersion="4" indent="0" outline="1" outlineData="1" multipleFieldFilters="0">
  <location ref="E34:G35" firstHeaderRow="0" firstDataRow="1" firstDataCol="1" rowPageCount="1" colPageCount="1"/>
  <pivotFields count="4">
    <pivotField dataField="1" showAll="0"/>
    <pivotField axis="axisRow" showAll="0">
      <items count="32">
        <item h="1" m="1" x="28"/>
        <item h="1" x="9"/>
        <item h="1" m="1" x="29"/>
        <item h="1" x="4"/>
        <item h="1" x="25"/>
        <item h="1" x="18"/>
        <item h="1" x="19"/>
        <item h="1" m="1" x="27"/>
        <item h="1" x="15"/>
        <item h="1" x="23"/>
        <item h="1" x="14"/>
        <item h="1" x="17"/>
        <item h="1" x="2"/>
        <item h="1" m="1" x="30"/>
        <item h="1" x="21"/>
        <item h="1" x="6"/>
        <item h="1" x="7"/>
        <item h="1" x="3"/>
        <item h="1" x="0"/>
        <item h="1" x="1"/>
        <item h="1" x="5"/>
        <item h="1" x="8"/>
        <item h="1" x="10"/>
        <item h="1" x="11"/>
        <item x="12"/>
        <item h="1" x="13"/>
        <item h="1" x="16"/>
        <item h="1" x="20"/>
        <item h="1" x="22"/>
        <item h="1" x="24"/>
        <item h="1" x="26"/>
        <item t="default"/>
      </items>
    </pivotField>
    <pivotField dataField="1" showAll="0"/>
    <pivotField name="0" axis="axisPage" showAll="0">
      <items count="12">
        <item x="6"/>
        <item x="3"/>
        <item m="1" x="9"/>
        <item m="1" x="10"/>
        <item x="7"/>
        <item x="5"/>
        <item x="2"/>
        <item x="4"/>
        <item x="1"/>
        <item x="0"/>
        <item x="8"/>
        <item t="default"/>
      </items>
    </pivotField>
  </pivotFields>
  <rowFields count="1">
    <field x="1"/>
  </rowFields>
  <rowItems count="1">
    <i>
      <x v="24"/>
    </i>
  </rowItems>
  <colFields count="1">
    <field x="-2"/>
  </colFields>
  <colItems count="2">
    <i>
      <x/>
    </i>
    <i i="1">
      <x v="1"/>
    </i>
  </colItems>
  <pageFields count="1">
    <pageField fld="3" hier="-1"/>
  </pageFields>
  <dataFields count="2">
    <dataField name="numer klasy" fld="2" baseField="1" baseItem="3"/>
    <dataField name="rank up lvl" fld="0" baseField="1" baseItem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Tabela przestawna7" cacheId="1" applyNumberFormats="0" applyBorderFormats="0" applyFontFormats="0" applyPatternFormats="0" applyAlignmentFormats="0" applyWidthHeightFormats="1" dataCaption="Wartości" updatedVersion="4" minRefreshableVersion="3" useAutoFormatting="1" rowGrandTotals="0" itemPrintTitles="1" createdVersion="4" indent="0" outline="1" outlineData="1" multipleFieldFilters="0">
  <location ref="K30:M31" firstHeaderRow="0" firstDataRow="1" firstDataCol="1"/>
  <pivotFields count="4">
    <pivotField dataField="1" showAll="0"/>
    <pivotField axis="axisRow" showAll="0">
      <items count="12">
        <item h="1" sd="0" x="6"/>
        <item h="1" sd="0" x="3"/>
        <item h="1" m="1" x="10"/>
        <item h="1" sd="0" m="1" x="9"/>
        <item h="1" x="7"/>
        <item h="1" x="5"/>
        <item h="1" x="2"/>
        <item h="1" x="4"/>
        <item x="1"/>
        <item h="1" x="0"/>
        <item h="1" x="8"/>
        <item t="default"/>
      </items>
    </pivotField>
    <pivotField dataField="1" showAll="0"/>
    <pivotField showAll="0"/>
  </pivotFields>
  <rowFields count="1">
    <field x="1"/>
  </rowFields>
  <rowItems count="1">
    <i>
      <x v="8"/>
    </i>
  </rowItems>
  <colFields count="1">
    <field x="-2"/>
  </colFields>
  <colItems count="2">
    <i>
      <x/>
    </i>
    <i i="1">
      <x v="1"/>
    </i>
  </colItems>
  <dataFields count="2">
    <dataField name="numer klasy" fld="2" baseField="1" baseItem="0"/>
    <dataField name="rank up lvl" fld="0" baseField="1" baseItem="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Tabela przestawna9" cacheId="0" applyNumberFormats="0" applyBorderFormats="0" applyFontFormats="0" applyPatternFormats="0" applyAlignmentFormats="0" applyWidthHeightFormats="1" dataCaption="Wartości" updatedVersion="4" minRefreshableVersion="3" useAutoFormatting="1" rowGrandTotals="0" itemPrintTitles="1" createdVersion="4" indent="0" outline="1" outlineData="1" multipleFieldFilters="0">
  <location ref="K34:M35" firstHeaderRow="0" firstDataRow="1" firstDataCol="1" rowPageCount="1" colPageCount="1"/>
  <pivotFields count="4">
    <pivotField dataField="1" showAll="0"/>
    <pivotField axis="axisRow" showAll="0">
      <items count="32">
        <item h="1" m="1" x="28"/>
        <item h="1" x="9"/>
        <item h="1" m="1" x="29"/>
        <item h="1" x="4"/>
        <item h="1" x="25"/>
        <item h="1" x="18"/>
        <item h="1" x="19"/>
        <item h="1" m="1" x="27"/>
        <item h="1" x="15"/>
        <item h="1" x="23"/>
        <item h="1" x="14"/>
        <item h="1" x="17"/>
        <item h="1" x="2"/>
        <item h="1" m="1" x="30"/>
        <item h="1" x="21"/>
        <item h="1" x="6"/>
        <item h="1" x="7"/>
        <item x="3"/>
        <item h="1" x="0"/>
        <item h="1" x="1"/>
        <item h="1" x="5"/>
        <item h="1" x="8"/>
        <item h="1" x="10"/>
        <item h="1" x="11"/>
        <item h="1" x="12"/>
        <item h="1" x="13"/>
        <item h="1" x="16"/>
        <item h="1" x="20"/>
        <item h="1" x="22"/>
        <item h="1" x="24"/>
        <item h="1" x="26"/>
        <item t="default"/>
      </items>
    </pivotField>
    <pivotField dataField="1" showAll="0"/>
    <pivotField axis="axisPage" showAll="0">
      <items count="12">
        <item x="6"/>
        <item x="3"/>
        <item m="1" x="9"/>
        <item m="1" x="10"/>
        <item x="7"/>
        <item x="5"/>
        <item x="2"/>
        <item x="4"/>
        <item x="1"/>
        <item x="0"/>
        <item x="8"/>
        <item t="default"/>
      </items>
    </pivotField>
  </pivotFields>
  <rowFields count="1">
    <field x="1"/>
  </rowFields>
  <rowItems count="1">
    <i>
      <x v="17"/>
    </i>
  </rowItems>
  <colFields count="1">
    <field x="-2"/>
  </colFields>
  <colItems count="2">
    <i>
      <x/>
    </i>
    <i i="1">
      <x v="1"/>
    </i>
  </colItems>
  <pageFields count="1">
    <pageField fld="3" item="8" hier="-1"/>
  </pageFields>
  <dataFields count="2">
    <dataField name="numer klasy" fld="2" baseField="1" baseItem="3"/>
    <dataField name="rank up lvl" fld="0" baseField="1" baseItem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Tabela przestawna4" cacheId="1" applyNumberFormats="0" applyBorderFormats="0" applyFontFormats="0" applyPatternFormats="0" applyAlignmentFormats="0" applyWidthHeightFormats="1" dataCaption="Wartości" updatedVersion="4" minRefreshableVersion="3" useAutoFormatting="1" rowGrandTotals="0" itemPrintTitles="1" createdVersion="4" indent="0" outline="1" outlineData="1" multipleFieldFilters="0">
  <location ref="E30:G31" firstHeaderRow="0" firstDataRow="1" firstDataCol="1"/>
  <pivotFields count="4">
    <pivotField dataField="1" showAll="0"/>
    <pivotField axis="axisRow" showAll="0">
      <items count="12">
        <item h="1" sd="0" x="6"/>
        <item h="1" sd="0" x="3"/>
        <item h="1" m="1" x="10"/>
        <item h="1" sd="0" m="1" x="9"/>
        <item h="1" x="7"/>
        <item h="1" x="5"/>
        <item h="1" x="2"/>
        <item x="4"/>
        <item h="1" x="1"/>
        <item h="1" x="0"/>
        <item h="1" x="8"/>
        <item t="default"/>
      </items>
    </pivotField>
    <pivotField dataField="1" showAll="0"/>
    <pivotField showAll="0"/>
  </pivotFields>
  <rowFields count="1">
    <field x="1"/>
  </rowFields>
  <rowItems count="1">
    <i>
      <x v="7"/>
    </i>
  </rowItems>
  <colFields count="1">
    <field x="-2"/>
  </colFields>
  <colItems count="2">
    <i>
      <x/>
    </i>
    <i i="1">
      <x v="1"/>
    </i>
  </colItems>
  <dataFields count="2">
    <dataField name="numer klasy" fld="2" baseField="1" baseItem="0"/>
    <dataField name="rank up lvl" fld="0" baseField="1" baseItem="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Tabela przestawna6" cacheId="3" applyNumberFormats="0" applyBorderFormats="0" applyFontFormats="0" applyPatternFormats="0" applyAlignmentFormats="0" applyWidthHeightFormats="1" dataCaption="Wartości" updatedVersion="4" minRefreshableVersion="3" useAutoFormatting="1" rowGrandTotals="0" itemPrintTitles="1" createdVersion="4" indent="0" outline="1" outlineData="1" multipleFieldFilters="0" chartFormat="1">
  <location ref="K28:M29" firstHeaderRow="0" firstDataRow="1" firstDataCol="1"/>
  <pivotFields count="3">
    <pivotField dataField="1" showAll="0"/>
    <pivotField axis="axisRow" showAll="0">
      <items count="5">
        <item h="1" m="1" x="3"/>
        <item h="1" x="2"/>
        <item x="1"/>
        <item h="1" x="0"/>
        <item t="default"/>
      </items>
    </pivotField>
    <pivotField dataField="1" showAll="0"/>
  </pivotFields>
  <rowFields count="1">
    <field x="1"/>
  </rowFields>
  <rowItems count="1">
    <i>
      <x v="2"/>
    </i>
  </rowItems>
  <colFields count="1">
    <field x="-2"/>
  </colFields>
  <colItems count="2">
    <i>
      <x/>
    </i>
    <i i="1">
      <x v="1"/>
    </i>
  </colItems>
  <dataFields count="2">
    <dataField name="numer klasy" fld="2" baseField="1" baseItem="0"/>
    <dataField name="rank up lvl" fld="0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6" name="Tabela6" displayName="Tabela6" ref="A2:K22" totalsRowShown="0" headerRowDxfId="29" dataDxfId="27" headerRowBorderDxfId="28" tableBorderDxfId="26" totalsRowBorderDxfId="25">
  <autoFilter ref="A2:K22"/>
  <tableColumns count="11">
    <tableColumn id="1" name="nazwa zaklęcia" dataDxfId="24"/>
    <tableColumn id="2" name="School of magic" dataDxfId="23"/>
    <tableColumn id="3" name="element alligment" dataDxfId="22"/>
    <tableColumn id="4" name="spell type " dataDxfId="21"/>
    <tableColumn id="5" name="targetted group (solo/aoe)" dataDxfId="20"/>
    <tableColumn id="6" name="range" dataDxfId="19"/>
    <tableColumn id="7" name="dmg/heal" dataDxfId="18"/>
    <tableColumn id="8" name="effects" dataDxfId="17"/>
    <tableColumn id="9" name="casting time" dataDxfId="16"/>
    <tableColumn id="10" name="duration" dataDxfId="15"/>
    <tableColumn id="11" name="cost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0" name="Tabela10" displayName="Tabela10" ref="L26:V40" totalsRowShown="0" headerRowDxfId="13" dataDxfId="12" tableBorderDxfId="11">
  <autoFilter ref="L26:V40"/>
  <tableColumns count="11">
    <tableColumn id="1" name="element" dataDxfId="10"/>
    <tableColumn id="2" name="staff/wand mult" dataDxfId="9"/>
    <tableColumn id="3" name="scepter" dataDxfId="8"/>
    <tableColumn id="4" name="cape mult" dataDxfId="7"/>
    <tableColumn id="5" name="lvl of mastery ^ for&gt;" dataDxfId="6">
      <calculatedColumnFormula>$P$25</calculatedColumnFormula>
    </tableColumn>
    <tableColumn id="6" name="catalyst 1" dataDxfId="5"/>
    <tableColumn id="7" name="catalyst 2" dataDxfId="4"/>
    <tableColumn id="8" name="catalyst 3" dataDxfId="3"/>
    <tableColumn id="9" name="catalyst 4" dataDxfId="2"/>
    <tableColumn id="10" name="rest" dataDxfId="1"/>
    <tableColumn id="11" name="total" dataDxfId="0">
      <calculatedColumnFormula>SUM(M27:O27,Q27:U27)+1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ctrlProp" Target="../ctrlProps/ctrlProp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ctrlProp" Target="../ctrlProps/ctrlProp1.xml"/><Relationship Id="rId5" Type="http://schemas.openxmlformats.org/officeDocument/2006/relationships/pivotTable" Target="../pivotTables/pivotTable5.xml"/><Relationship Id="rId10" Type="http://schemas.openxmlformats.org/officeDocument/2006/relationships/vmlDrawing" Target="../drawings/vmlDrawing1.v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1"/>
  <dimension ref="A1"/>
  <sheetViews>
    <sheetView showGridLines="0" showRowColHeaders="0" zoomScale="128" zoomScaleNormal="128" workbookViewId="0"/>
  </sheetViews>
  <sheetFormatPr defaultColWidth="10.28515625"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Arkusz2"/>
  <dimension ref="A1:T300"/>
  <sheetViews>
    <sheetView tabSelected="1" zoomScale="115" zoomScaleNormal="115" workbookViewId="0">
      <selection activeCell="L3" sqref="L3"/>
    </sheetView>
  </sheetViews>
  <sheetFormatPr defaultColWidth="9" defaultRowHeight="15" x14ac:dyDescent="0.25"/>
  <cols>
    <col min="1" max="1" width="6.42578125" customWidth="1"/>
    <col min="2" max="2" width="4.42578125" customWidth="1"/>
    <col min="3" max="3" width="8.85546875" customWidth="1"/>
    <col min="4" max="4" width="5.5703125" customWidth="1"/>
    <col min="5" max="5" width="10" customWidth="1"/>
    <col min="6" max="6" width="8.5703125" customWidth="1"/>
    <col min="7" max="7" width="7.140625" customWidth="1"/>
    <col min="8" max="8" width="3.7109375" customWidth="1"/>
    <col min="9" max="9" width="3.85546875" customWidth="1"/>
    <col min="10" max="10" width="3.7109375" customWidth="1"/>
    <col min="11" max="11" width="17.7109375" customWidth="1"/>
    <col min="12" max="12" width="11.85546875" customWidth="1"/>
    <col min="13" max="13" width="10.140625" customWidth="1"/>
    <col min="14" max="14" width="16.42578125" customWidth="1"/>
    <col min="15" max="15" width="11" customWidth="1"/>
    <col min="16" max="16" width="26" style="179" customWidth="1"/>
    <col min="17" max="19" width="17.7109375" style="17" customWidth="1"/>
    <col min="20" max="20" width="17.7109375" style="178" customWidth="1"/>
    <col min="21" max="21" width="22.5703125" customWidth="1"/>
    <col min="22" max="22" width="20.42578125" customWidth="1"/>
    <col min="23" max="23" width="23" customWidth="1"/>
    <col min="24" max="24" width="22.140625" customWidth="1"/>
    <col min="25" max="25" width="24.5703125" bestFit="1" customWidth="1"/>
    <col min="26" max="26" width="23.42578125" bestFit="1" customWidth="1"/>
    <col min="27" max="27" width="22.5703125" bestFit="1" customWidth="1"/>
    <col min="33" max="33" width="9.5703125" customWidth="1"/>
  </cols>
  <sheetData>
    <row r="1" spans="1:20" x14ac:dyDescent="0.25">
      <c r="A1" s="204" t="s">
        <v>306</v>
      </c>
      <c r="B1" s="204"/>
      <c r="C1" s="204"/>
      <c r="D1" s="204"/>
      <c r="E1" s="193"/>
      <c r="F1" s="193"/>
      <c r="G1" s="193"/>
      <c r="H1" s="193"/>
      <c r="I1" s="193"/>
      <c r="J1" s="193"/>
      <c r="K1" s="96" t="s">
        <v>110</v>
      </c>
      <c r="L1" s="136">
        <f>L29</f>
        <v>2</v>
      </c>
      <c r="M1" s="196" t="s">
        <v>380</v>
      </c>
      <c r="N1" s="193"/>
      <c r="O1" s="193"/>
      <c r="P1" s="154" t="s">
        <v>102</v>
      </c>
      <c r="Q1" s="150" t="s">
        <v>99</v>
      </c>
      <c r="R1" s="133" t="s">
        <v>387</v>
      </c>
      <c r="S1" s="133" t="s">
        <v>377</v>
      </c>
      <c r="T1" s="180" t="s">
        <v>386</v>
      </c>
    </row>
    <row r="2" spans="1:20" x14ac:dyDescent="0.25">
      <c r="A2" s="139" t="s">
        <v>101</v>
      </c>
      <c r="B2" s="140"/>
      <c r="C2" s="199" t="str">
        <f>N4</f>
        <v>Ork</v>
      </c>
      <c r="D2" s="199"/>
      <c r="E2" s="199"/>
      <c r="F2" s="197" t="s">
        <v>97</v>
      </c>
      <c r="G2" s="197"/>
      <c r="H2" s="199" t="s">
        <v>100</v>
      </c>
      <c r="I2" s="199"/>
      <c r="J2" s="199"/>
      <c r="K2" s="25" t="s">
        <v>339</v>
      </c>
      <c r="L2" s="27"/>
      <c r="M2" s="196"/>
      <c r="N2" s="193"/>
      <c r="O2" s="193"/>
      <c r="P2" s="144" t="s">
        <v>57</v>
      </c>
      <c r="Q2" s="24">
        <v>0</v>
      </c>
      <c r="R2" s="24">
        <f t="shared" ref="R2:R9" si="0">$H$5</f>
        <v>9</v>
      </c>
      <c r="S2" s="129"/>
      <c r="T2" s="151">
        <f>IF(Q2&lt;=19, ROUNDUP(0.5*Q2,0)+R2+S2,R2)+IF(meta!$A$2,1,0)</f>
        <v>9</v>
      </c>
    </row>
    <row r="3" spans="1:20" x14ac:dyDescent="0.25">
      <c r="A3" s="205" t="s">
        <v>8</v>
      </c>
      <c r="B3" s="205"/>
      <c r="C3" s="208">
        <v>8</v>
      </c>
      <c r="D3" s="209"/>
      <c r="E3" s="210"/>
      <c r="F3" s="198" t="s">
        <v>9</v>
      </c>
      <c r="G3" s="198"/>
      <c r="H3" s="198" t="s">
        <v>9</v>
      </c>
      <c r="I3" s="198"/>
      <c r="J3" s="198"/>
      <c r="K3" s="27" t="s">
        <v>338</v>
      </c>
      <c r="L3" s="27"/>
      <c r="M3" s="130" t="s">
        <v>378</v>
      </c>
      <c r="N3" s="193" t="s">
        <v>379</v>
      </c>
      <c r="O3" s="193"/>
      <c r="P3" s="144" t="s">
        <v>58</v>
      </c>
      <c r="Q3" s="24">
        <v>0</v>
      </c>
      <c r="R3" s="24">
        <f t="shared" si="0"/>
        <v>9</v>
      </c>
      <c r="S3" s="129"/>
      <c r="T3" s="151">
        <f>IF(Q3&lt;=19, ROUNDUP(0.5*Q3,0)+R3+S3,R3)+IF(meta!$A$2,1,0)</f>
        <v>9</v>
      </c>
    </row>
    <row r="4" spans="1:20" x14ac:dyDescent="0.25">
      <c r="A4" s="206" t="s">
        <v>3</v>
      </c>
      <c r="B4" s="206"/>
      <c r="C4" s="205">
        <v>20</v>
      </c>
      <c r="D4" s="205"/>
      <c r="E4" s="205"/>
      <c r="F4" s="205">
        <f>N5</f>
        <v>4</v>
      </c>
      <c r="G4" s="205"/>
      <c r="H4" s="205">
        <f>ROUNDUP((C4/4)+F4,0)</f>
        <v>9</v>
      </c>
      <c r="I4" s="205"/>
      <c r="J4" s="205"/>
      <c r="K4" s="27" t="s">
        <v>111</v>
      </c>
      <c r="L4" s="27"/>
      <c r="M4" s="27" t="s">
        <v>385</v>
      </c>
      <c r="N4" s="192" t="str">
        <f>IF(meta!A1,B28 &amp;"/" &amp; C28,B28)</f>
        <v>Ork</v>
      </c>
      <c r="O4" s="192"/>
      <c r="P4" s="144" t="s">
        <v>59</v>
      </c>
      <c r="Q4" s="24">
        <v>0</v>
      </c>
      <c r="R4" s="24">
        <f t="shared" si="0"/>
        <v>9</v>
      </c>
      <c r="S4" s="129"/>
      <c r="T4" s="151">
        <f>IF(Q4&lt;=19, ROUNDUP(0.5*Q4,0)+R4+S4,R4)+IF(meta!$A$2,1,0)</f>
        <v>9</v>
      </c>
    </row>
    <row r="5" spans="1:20" x14ac:dyDescent="0.25">
      <c r="A5" s="207" t="s">
        <v>13</v>
      </c>
      <c r="B5" s="207"/>
      <c r="C5" s="205">
        <v>20</v>
      </c>
      <c r="D5" s="205"/>
      <c r="E5" s="205"/>
      <c r="F5" s="205">
        <f>N6</f>
        <v>4</v>
      </c>
      <c r="G5" s="205"/>
      <c r="H5" s="205">
        <f>ROUNDUP((C5/4)+F5,0)</f>
        <v>9</v>
      </c>
      <c r="I5" s="205"/>
      <c r="J5" s="205"/>
      <c r="K5" s="27" t="s">
        <v>107</v>
      </c>
      <c r="L5" s="27">
        <f>IF(L$1=1,meta!U44,IF(L$1=2,meta!V44,IF(L$1=3,meta!W44,"Error")))+IF(L7&lt;0,L7,0)+IF(L8&lt;0,(L8),0)+IF(L6&lt;0,L6,0)</f>
        <v>330</v>
      </c>
      <c r="M5" s="27" t="s">
        <v>381</v>
      </c>
      <c r="N5" s="192">
        <f>IF(meta!A$1,CEILING(AVERAGE(B29,C29),1),B29)</f>
        <v>4</v>
      </c>
      <c r="O5" s="192"/>
      <c r="P5" s="144" t="s">
        <v>37</v>
      </c>
      <c r="Q5" s="24">
        <v>0</v>
      </c>
      <c r="R5" s="24">
        <f t="shared" si="0"/>
        <v>9</v>
      </c>
      <c r="S5" s="129"/>
      <c r="T5" s="151">
        <f>IF(Q5&lt;=19, ROUNDUP(0.5*Q5,0)+R5+S5,R5)+IF(meta!$A$2,1,0)</f>
        <v>9</v>
      </c>
    </row>
    <row r="6" spans="1:20" x14ac:dyDescent="0.25">
      <c r="A6" s="205" t="s">
        <v>5</v>
      </c>
      <c r="B6" s="205"/>
      <c r="C6" s="205">
        <v>20</v>
      </c>
      <c r="D6" s="205"/>
      <c r="E6" s="205"/>
      <c r="F6" s="205">
        <f>N7</f>
        <v>1</v>
      </c>
      <c r="G6" s="205"/>
      <c r="H6" s="205">
        <f>ROUNDUP((C6/4)+F6,0)</f>
        <v>6</v>
      </c>
      <c r="I6" s="205"/>
      <c r="J6" s="205"/>
      <c r="K6" s="27" t="s">
        <v>108</v>
      </c>
      <c r="L6" s="27">
        <f>IF(L$1=1,meta!U45,IF(L$1=2,meta!V45,IF(L$1=3,meta!W45,"Error")))-L4</f>
        <v>210</v>
      </c>
      <c r="M6" s="27" t="s">
        <v>382</v>
      </c>
      <c r="N6" s="192">
        <f>IF(meta!A$1,CEILING(AVERAGE(B30,C30),1),B30)</f>
        <v>4</v>
      </c>
      <c r="O6" s="192"/>
      <c r="P6" s="144" t="s">
        <v>90</v>
      </c>
      <c r="Q6" s="24">
        <v>0</v>
      </c>
      <c r="R6" s="24">
        <f t="shared" si="0"/>
        <v>9</v>
      </c>
      <c r="S6" s="129"/>
      <c r="T6" s="151">
        <f>IF(Q6&lt;=19, ROUNDUP(0.5*Q6,0)+R6+S6,R6)+IF(meta!$A$2,1,0)</f>
        <v>9</v>
      </c>
    </row>
    <row r="7" spans="1:20" x14ac:dyDescent="0.25">
      <c r="A7" s="205" t="s">
        <v>6</v>
      </c>
      <c r="B7" s="205"/>
      <c r="C7" s="205">
        <v>20</v>
      </c>
      <c r="D7" s="205"/>
      <c r="E7" s="205"/>
      <c r="F7" s="205">
        <f>N8</f>
        <v>0</v>
      </c>
      <c r="G7" s="205"/>
      <c r="H7" s="205">
        <f>ROUNDUP((C7/4)+F7,0)</f>
        <v>5</v>
      </c>
      <c r="I7" s="205"/>
      <c r="J7" s="205"/>
      <c r="K7" s="27" t="s">
        <v>109</v>
      </c>
      <c r="L7" s="27">
        <f>IF(L$1=1,meta!U46,IF(L$1=2,meta!V46,IF(L$1=3,meta!W46,"Error")))-L2+Inventory!E27</f>
        <v>110</v>
      </c>
      <c r="M7" s="27" t="s">
        <v>383</v>
      </c>
      <c r="N7" s="192">
        <f>IF(meta!A$1,CEILING(AVERAGE(B31,C31),1),B31)</f>
        <v>1</v>
      </c>
      <c r="O7" s="192"/>
      <c r="P7" s="144" t="s">
        <v>60</v>
      </c>
      <c r="Q7" s="24">
        <v>0</v>
      </c>
      <c r="R7" s="24">
        <f t="shared" si="0"/>
        <v>9</v>
      </c>
      <c r="S7" s="129"/>
      <c r="T7" s="151">
        <f>IF(Q7&lt;=19, ROUNDUP(0.5*Q7,0)+R7+S7,R7)+IF(meta!$A$2,1,0)</f>
        <v>9</v>
      </c>
    </row>
    <row r="8" spans="1:20" x14ac:dyDescent="0.25">
      <c r="A8" s="219" t="s">
        <v>42</v>
      </c>
      <c r="B8" s="219"/>
      <c r="C8" s="205">
        <f>ROUNDUP(((F4+F5+F6+F7)/3),0)</f>
        <v>3</v>
      </c>
      <c r="D8" s="205"/>
      <c r="E8" s="121"/>
      <c r="F8" s="218" t="s">
        <v>98</v>
      </c>
      <c r="G8" s="218"/>
      <c r="H8" s="205">
        <f>((C3*2)+4)-SUM(Q2:Q32)</f>
        <v>20</v>
      </c>
      <c r="I8" s="205"/>
      <c r="J8" s="205"/>
      <c r="K8" s="27" t="s">
        <v>112</v>
      </c>
      <c r="L8" s="27">
        <f>IF(L$1=1,meta!U47,IF(L$1=2,meta!V47,IF(L$1=3,meta!W47,"Error")))-L3+Inventory!F27</f>
        <v>70</v>
      </c>
      <c r="M8" s="27" t="s">
        <v>384</v>
      </c>
      <c r="N8" s="192">
        <f>IF(meta!A$1,CEILING(AVERAGE(B32,C32),1),B32)</f>
        <v>0</v>
      </c>
      <c r="O8" s="192"/>
      <c r="P8" s="144" t="s">
        <v>61</v>
      </c>
      <c r="Q8" s="24">
        <v>0</v>
      </c>
      <c r="R8" s="24">
        <f t="shared" si="0"/>
        <v>9</v>
      </c>
      <c r="S8" s="129"/>
      <c r="T8" s="151">
        <f>IF(Q8&lt;=19, ROUNDUP(0.5*Q8,0)+R8+S8,R8)+IF(meta!$A$2,1,0)</f>
        <v>9</v>
      </c>
    </row>
    <row r="9" spans="1:20" x14ac:dyDescent="0.25">
      <c r="A9" s="200" t="s">
        <v>346</v>
      </c>
      <c r="B9" s="200"/>
      <c r="C9" s="200"/>
      <c r="D9" s="200"/>
      <c r="E9" s="128" t="s">
        <v>34</v>
      </c>
      <c r="F9" s="222" t="s">
        <v>247</v>
      </c>
      <c r="G9" s="222"/>
      <c r="H9" s="222"/>
      <c r="I9" s="222"/>
      <c r="J9" s="222"/>
      <c r="K9" s="75" t="s">
        <v>310</v>
      </c>
      <c r="L9" s="27" t="str">
        <f>IF(C$3&lt;20,IF(C$3&lt;8,IF(C$3&lt;4,"Punch",K$29),K$31),K$35)</f>
        <v>veterian</v>
      </c>
      <c r="M9" s="194" t="s">
        <v>407</v>
      </c>
      <c r="N9" s="195"/>
      <c r="O9" s="143"/>
      <c r="P9" s="144" t="s">
        <v>38</v>
      </c>
      <c r="Q9" s="24">
        <v>0</v>
      </c>
      <c r="R9" s="24">
        <f t="shared" si="0"/>
        <v>9</v>
      </c>
      <c r="S9" s="129"/>
      <c r="T9" s="151">
        <f>IF(Q9&lt;=19, ROUNDUP(0.5*Q9,0)+R9+S9,R9)+IF(meta!$A$2,1,0)</f>
        <v>9</v>
      </c>
    </row>
    <row r="10" spans="1:20" x14ac:dyDescent="0.25">
      <c r="A10" s="201"/>
      <c r="B10" s="202"/>
      <c r="C10" s="202"/>
      <c r="D10" s="203"/>
      <c r="E10" s="122"/>
      <c r="F10" s="212"/>
      <c r="G10" s="212"/>
      <c r="H10" s="212"/>
      <c r="I10" s="212"/>
      <c r="J10" s="212"/>
      <c r="K10" s="75" t="s">
        <v>311</v>
      </c>
      <c r="L10" s="27" t="str">
        <f>IF(C$3&lt;70,IF(C$3&lt;58,IF(C$3&lt;54,IF(C3&lt;50,"brak","punch"),E$29),E$31),E$35)</f>
        <v>brak</v>
      </c>
      <c r="M10" s="190" t="s">
        <v>430</v>
      </c>
      <c r="N10" s="191"/>
      <c r="O10" s="153">
        <f>IF(meta!A1,"none",B34)</f>
        <v>0</v>
      </c>
      <c r="P10" s="146" t="s">
        <v>73</v>
      </c>
      <c r="Q10" s="24">
        <v>0</v>
      </c>
      <c r="R10" s="24">
        <f>H$4+H5</f>
        <v>18</v>
      </c>
      <c r="S10" s="129"/>
      <c r="T10" s="151">
        <f>IF(Q10&lt;=19, ROUNDUP(0.5*Q10,0)+R10+S10,R10)+IF(meta!$A$2,1,0)</f>
        <v>18</v>
      </c>
    </row>
    <row r="11" spans="1:20" x14ac:dyDescent="0.25">
      <c r="A11" s="211" t="s">
        <v>211</v>
      </c>
      <c r="B11" s="211"/>
      <c r="C11" s="211"/>
      <c r="D11" s="211"/>
      <c r="E11" s="200" t="s">
        <v>212</v>
      </c>
      <c r="F11" s="200"/>
      <c r="G11" s="217" t="s">
        <v>309</v>
      </c>
      <c r="H11" s="217"/>
      <c r="I11" s="217"/>
      <c r="J11" s="217"/>
      <c r="K11" s="134" t="s">
        <v>332</v>
      </c>
      <c r="L11" s="216" t="s">
        <v>305</v>
      </c>
      <c r="M11" s="216"/>
      <c r="N11" s="216"/>
      <c r="P11" s="149" t="s">
        <v>43</v>
      </c>
      <c r="Q11" s="24">
        <v>0</v>
      </c>
      <c r="R11" s="24">
        <f t="shared" ref="R11:R16" si="1">H$4</f>
        <v>9</v>
      </c>
      <c r="S11" s="129"/>
      <c r="T11" s="151">
        <f>IF(Q11&lt;=19, ROUNDUP(0.5*Q11,0)+R11+S11,R11)+IF(meta!$A$2,1,0)</f>
        <v>9</v>
      </c>
    </row>
    <row r="12" spans="1:20" x14ac:dyDescent="0.25">
      <c r="A12" s="213" t="str">
        <f>IF(meta!A1,"none",IF(O10=1,"evil","good"))</f>
        <v>good</v>
      </c>
      <c r="B12" s="213"/>
      <c r="C12" s="213"/>
      <c r="D12" s="213"/>
      <c r="E12" s="212" t="str">
        <f>meta!O27</f>
        <v>none</v>
      </c>
      <c r="F12" s="212"/>
      <c r="G12" s="212" t="str">
        <f>IF(A12=E12,"yes","no")</f>
        <v>no</v>
      </c>
      <c r="H12" s="212"/>
      <c r="I12" s="212"/>
      <c r="J12" s="212"/>
      <c r="K12" s="134" t="s">
        <v>337</v>
      </c>
      <c r="L12" s="216"/>
      <c r="M12" s="216"/>
      <c r="N12" s="216"/>
      <c r="P12" s="146" t="s">
        <v>72</v>
      </c>
      <c r="Q12" s="24">
        <v>0</v>
      </c>
      <c r="R12" s="24">
        <f t="shared" si="1"/>
        <v>9</v>
      </c>
      <c r="S12" s="129"/>
      <c r="T12" s="151">
        <f>IF(Q12&lt;=19, ROUNDUP(0.5*Q12,0)+R12+S12,R12)+IF(meta!$A$2,1,0)</f>
        <v>9</v>
      </c>
    </row>
    <row r="13" spans="1:20" x14ac:dyDescent="0.25">
      <c r="A13" s="200" t="s">
        <v>264</v>
      </c>
      <c r="B13" s="200"/>
      <c r="C13" s="200"/>
      <c r="D13" s="200"/>
      <c r="E13" s="200" t="s">
        <v>395</v>
      </c>
      <c r="F13" s="200"/>
      <c r="G13" s="200" t="s">
        <v>284</v>
      </c>
      <c r="H13" s="200"/>
      <c r="I13" s="200"/>
      <c r="J13" s="200"/>
      <c r="K13" s="220" t="s">
        <v>333</v>
      </c>
      <c r="L13" s="216"/>
      <c r="M13" s="216"/>
      <c r="N13" s="216"/>
      <c r="P13" s="144" t="s">
        <v>74</v>
      </c>
      <c r="Q13" s="24">
        <v>0</v>
      </c>
      <c r="R13" s="24">
        <f t="shared" si="1"/>
        <v>9</v>
      </c>
      <c r="S13" s="129">
        <v>0</v>
      </c>
      <c r="T13" s="151">
        <f>IF(Q13&lt;=19, ROUNDUP(0.5*Q13,0)+R13+S13,R13)+IF(meta!$A$2,1,0)</f>
        <v>9</v>
      </c>
    </row>
    <row r="14" spans="1:20" x14ac:dyDescent="0.25">
      <c r="A14" s="212">
        <f>FLOOR(meta!L4/4+F7,1)</f>
        <v>10</v>
      </c>
      <c r="B14" s="212"/>
      <c r="C14" s="212"/>
      <c r="D14" s="212"/>
      <c r="E14" s="212"/>
      <c r="F14" s="212"/>
      <c r="G14" s="212">
        <f>A14+E14</f>
        <v>10</v>
      </c>
      <c r="H14" s="212"/>
      <c r="I14" s="212"/>
      <c r="J14" s="212"/>
      <c r="K14" s="220"/>
      <c r="L14" s="217" t="s">
        <v>326</v>
      </c>
      <c r="M14" s="217"/>
      <c r="N14" s="217"/>
      <c r="P14" s="149" t="s">
        <v>44</v>
      </c>
      <c r="Q14" s="24">
        <v>0</v>
      </c>
      <c r="R14" s="24">
        <f t="shared" si="1"/>
        <v>9</v>
      </c>
      <c r="S14" s="129"/>
      <c r="T14" s="151">
        <f>IF(Q14&lt;=19, ROUNDUP(0.5*Q14,0)+R14+S14,R14)+IF(meta!$A$2,1,0)</f>
        <v>9</v>
      </c>
    </row>
    <row r="15" spans="1:20" x14ac:dyDescent="0.25">
      <c r="A15" s="200" t="s">
        <v>265</v>
      </c>
      <c r="B15" s="200"/>
      <c r="C15" s="200"/>
      <c r="D15" s="200"/>
      <c r="E15" s="200" t="s">
        <v>266</v>
      </c>
      <c r="F15" s="200"/>
      <c r="G15" s="200" t="s">
        <v>267</v>
      </c>
      <c r="H15" s="200"/>
      <c r="I15" s="200"/>
      <c r="J15" s="200"/>
      <c r="K15" s="220" t="s">
        <v>336</v>
      </c>
      <c r="L15" s="65" t="s">
        <v>356</v>
      </c>
      <c r="M15" s="124" t="s">
        <v>357</v>
      </c>
      <c r="N15" s="65" t="s">
        <v>358</v>
      </c>
      <c r="P15" s="147" t="s">
        <v>404</v>
      </c>
      <c r="Q15" s="24">
        <v>0</v>
      </c>
      <c r="R15" s="24">
        <f t="shared" si="1"/>
        <v>9</v>
      </c>
      <c r="S15" s="129">
        <v>0</v>
      </c>
      <c r="T15" s="151">
        <f>IF(Q15&lt;=19, ROUNDUP(0.5*Q15,0)+R15+S15,R15)+IF(meta!$A$2,1,0)</f>
        <v>9</v>
      </c>
    </row>
    <row r="16" spans="1:20" x14ac:dyDescent="0.25">
      <c r="A16" s="212">
        <f>FLOOR(meta!L6/4+F4,1)</f>
        <v>14</v>
      </c>
      <c r="B16" s="212"/>
      <c r="C16" s="212"/>
      <c r="D16" s="212"/>
      <c r="E16" s="212"/>
      <c r="F16" s="212"/>
      <c r="G16" s="212">
        <f>A16-E16</f>
        <v>14</v>
      </c>
      <c r="H16" s="212"/>
      <c r="I16" s="212"/>
      <c r="J16" s="212"/>
      <c r="K16" s="221"/>
      <c r="L16" s="45">
        <f>FLOOR(meta!U54,1)</f>
        <v>13</v>
      </c>
      <c r="M16" s="45">
        <f>FLOOR(meta!U54,1)</f>
        <v>13</v>
      </c>
      <c r="N16" s="45">
        <f>FLOOR(meta!U54,1)</f>
        <v>13</v>
      </c>
      <c r="P16" s="144" t="s">
        <v>394</v>
      </c>
      <c r="Q16" s="24">
        <v>0</v>
      </c>
      <c r="R16" s="24">
        <f t="shared" si="1"/>
        <v>9</v>
      </c>
      <c r="S16" s="129"/>
      <c r="T16" s="151">
        <f>IF(Q16&lt;=19, ROUNDUP(0.5*Q16,0)+R16+S16,R16)+IF(meta!$A$2,1,0)</f>
        <v>9</v>
      </c>
    </row>
    <row r="17" spans="1:20" x14ac:dyDescent="0.25">
      <c r="A17" s="200" t="s">
        <v>283</v>
      </c>
      <c r="B17" s="200"/>
      <c r="C17" s="200"/>
      <c r="D17" s="200"/>
      <c r="E17" s="200" t="s">
        <v>396</v>
      </c>
      <c r="F17" s="200"/>
      <c r="G17" s="200" t="s">
        <v>284</v>
      </c>
      <c r="H17" s="200"/>
      <c r="I17" s="200"/>
      <c r="J17" s="200"/>
      <c r="K17" s="220" t="s">
        <v>334</v>
      </c>
      <c r="L17" s="217" t="s">
        <v>327</v>
      </c>
      <c r="M17" s="217"/>
      <c r="N17" s="217"/>
      <c r="P17" s="144" t="s">
        <v>62</v>
      </c>
      <c r="Q17" s="24">
        <v>0</v>
      </c>
      <c r="R17" s="24">
        <f t="shared" ref="R17:R24" si="2">$H$7</f>
        <v>5</v>
      </c>
      <c r="S17" s="129"/>
      <c r="T17" s="151">
        <f>IF(Q17&lt;=19, ROUNDUP(0.5*Q17,0)+R17+S17,R17)+IF(meta!$A$2,1,0)</f>
        <v>5</v>
      </c>
    </row>
    <row r="18" spans="1:20" x14ac:dyDescent="0.25">
      <c r="A18" s="212">
        <f>CEILING(C4/5,1)+1</f>
        <v>5</v>
      </c>
      <c r="B18" s="212"/>
      <c r="C18" s="212"/>
      <c r="D18" s="212"/>
      <c r="E18" s="212"/>
      <c r="F18" s="212"/>
      <c r="G18" s="212" t="str">
        <f>A18+E18 &amp; "d6"</f>
        <v>5d6</v>
      </c>
      <c r="H18" s="212"/>
      <c r="I18" s="212"/>
      <c r="J18" s="212"/>
      <c r="K18" s="221"/>
      <c r="L18" s="45"/>
      <c r="M18" s="45"/>
      <c r="N18" s="45"/>
      <c r="P18" s="147" t="s">
        <v>403</v>
      </c>
      <c r="Q18" s="24">
        <v>0</v>
      </c>
      <c r="R18" s="24">
        <f t="shared" si="2"/>
        <v>5</v>
      </c>
      <c r="S18" s="129"/>
      <c r="T18" s="151">
        <f>IF(Q18&lt;=19, ROUNDUP(0.5*Q18,0)+R18+S18,R18)+IF(meta!$A$2,1,0)</f>
        <v>5</v>
      </c>
    </row>
    <row r="19" spans="1:20" x14ac:dyDescent="0.25">
      <c r="A19" s="223" t="s">
        <v>290</v>
      </c>
      <c r="B19" s="223"/>
      <c r="C19" s="223"/>
      <c r="D19" s="223"/>
      <c r="E19" s="200" t="s">
        <v>396</v>
      </c>
      <c r="F19" s="200"/>
      <c r="G19" s="200" t="s">
        <v>284</v>
      </c>
      <c r="H19" s="200"/>
      <c r="I19" s="200"/>
      <c r="J19" s="200"/>
      <c r="K19" s="220" t="s">
        <v>335</v>
      </c>
      <c r="L19" s="217" t="s">
        <v>328</v>
      </c>
      <c r="M19" s="217"/>
      <c r="N19" s="217"/>
      <c r="P19" s="148" t="s">
        <v>63</v>
      </c>
      <c r="Q19" s="24">
        <v>0</v>
      </c>
      <c r="R19" s="24">
        <f t="shared" si="2"/>
        <v>5</v>
      </c>
      <c r="S19" s="129"/>
      <c r="T19" s="151">
        <f>IF(Q19&lt;=19, ROUNDUP(0.5*Q19,0)+R19+S19,R19)+IF(meta!$A$2,1,0)</f>
        <v>5</v>
      </c>
    </row>
    <row r="20" spans="1:20" x14ac:dyDescent="0.25">
      <c r="A20" s="212">
        <f>CEILING(C5/5,1)*1.5</f>
        <v>6</v>
      </c>
      <c r="B20" s="212"/>
      <c r="C20" s="212"/>
      <c r="D20" s="212"/>
      <c r="E20" s="212"/>
      <c r="F20" s="212"/>
      <c r="G20" s="212" t="str">
        <f>A20+E20 &amp; "m"</f>
        <v>6m</v>
      </c>
      <c r="H20" s="212"/>
      <c r="I20" s="212"/>
      <c r="J20" s="212"/>
      <c r="K20" s="221"/>
      <c r="L20" s="45"/>
      <c r="M20" s="45"/>
      <c r="N20" s="45"/>
      <c r="P20" s="144" t="s">
        <v>64</v>
      </c>
      <c r="Q20" s="24">
        <v>0</v>
      </c>
      <c r="R20" s="24">
        <f t="shared" si="2"/>
        <v>5</v>
      </c>
      <c r="S20" s="129"/>
      <c r="T20" s="151">
        <f>IF(Q20&lt;=19, ROUNDUP(0.5*Q20,0)+R20+S20,R20)+IF(meta!$A$2,1,0)</f>
        <v>5</v>
      </c>
    </row>
    <row r="21" spans="1:20" x14ac:dyDescent="0.25">
      <c r="A21" s="200" t="s">
        <v>344</v>
      </c>
      <c r="B21" s="200"/>
      <c r="C21" s="200"/>
      <c r="D21" s="200"/>
      <c r="E21" s="200" t="s">
        <v>395</v>
      </c>
      <c r="F21" s="200"/>
      <c r="G21" s="200" t="s">
        <v>359</v>
      </c>
      <c r="H21" s="200"/>
      <c r="I21" s="200"/>
      <c r="J21" s="200"/>
      <c r="K21" s="200" t="s">
        <v>362</v>
      </c>
      <c r="L21" s="214" t="s">
        <v>361</v>
      </c>
      <c r="M21" s="214"/>
      <c r="N21" s="214"/>
      <c r="P21" s="144" t="s">
        <v>65</v>
      </c>
      <c r="Q21" s="24">
        <v>0</v>
      </c>
      <c r="R21" s="24">
        <f t="shared" si="2"/>
        <v>5</v>
      </c>
      <c r="S21" s="129"/>
      <c r="T21" s="151">
        <f>IF(Q21&lt;=19, ROUNDUP(0.5*Q21,0)+R21+S21,R21)+IF(meta!$A$2,1,0)</f>
        <v>5</v>
      </c>
    </row>
    <row r="22" spans="1:20" x14ac:dyDescent="0.25">
      <c r="A22" s="200" t="s">
        <v>354</v>
      </c>
      <c r="B22" s="200"/>
      <c r="C22" s="200"/>
      <c r="D22" s="200"/>
      <c r="E22" s="65" t="s">
        <v>355</v>
      </c>
      <c r="F22" s="65" t="s">
        <v>328</v>
      </c>
      <c r="G22" s="200"/>
      <c r="H22" s="200"/>
      <c r="I22" s="200"/>
      <c r="J22" s="200"/>
      <c r="K22" s="200"/>
      <c r="L22" s="215" t="s">
        <v>360</v>
      </c>
      <c r="M22" s="215"/>
      <c r="N22" s="215"/>
      <c r="P22" s="144" t="s">
        <v>66</v>
      </c>
      <c r="Q22" s="24">
        <v>0</v>
      </c>
      <c r="R22" s="24">
        <f t="shared" si="2"/>
        <v>5</v>
      </c>
      <c r="S22" s="129"/>
      <c r="T22" s="151">
        <f>IF(Q22&lt;=19, ROUNDUP(0.5*Q22,0)+R22+S22,R22)+IF(meta!$A$2,1,0)</f>
        <v>5</v>
      </c>
    </row>
    <row r="23" spans="1:20" x14ac:dyDescent="0.25">
      <c r="A23" s="212">
        <f>C4</f>
        <v>20</v>
      </c>
      <c r="B23" s="212"/>
      <c r="C23" s="212"/>
      <c r="D23" s="212"/>
      <c r="E23" s="122"/>
      <c r="F23" s="122"/>
      <c r="G23" s="212">
        <f>A23+E23+F23</f>
        <v>20</v>
      </c>
      <c r="H23" s="212"/>
      <c r="I23" s="212"/>
      <c r="J23" s="212"/>
      <c r="K23" s="45" t="s">
        <v>304</v>
      </c>
      <c r="L23" s="123">
        <f>$L$20+$L$18+$L$16</f>
        <v>13</v>
      </c>
      <c r="M23" s="1"/>
      <c r="N23" s="17"/>
      <c r="P23" s="144" t="s">
        <v>39</v>
      </c>
      <c r="Q23" s="24">
        <v>0</v>
      </c>
      <c r="R23" s="24">
        <f t="shared" si="2"/>
        <v>5</v>
      </c>
      <c r="S23" s="129"/>
      <c r="T23" s="151">
        <f>IF(Q23&lt;=19, ROUNDUP(0.5*Q23,0)+R23+S23,R23)+IF(meta!$A$2,1,0)</f>
        <v>5</v>
      </c>
    </row>
    <row r="24" spans="1:20" x14ac:dyDescent="0.25">
      <c r="A24" s="212">
        <f>C5</f>
        <v>20</v>
      </c>
      <c r="B24" s="212"/>
      <c r="C24" s="212"/>
      <c r="D24" s="212"/>
      <c r="E24" s="122"/>
      <c r="F24" s="122"/>
      <c r="G24" s="212">
        <f>A24+E24+F24</f>
        <v>20</v>
      </c>
      <c r="H24" s="212"/>
      <c r="I24" s="212"/>
      <c r="J24" s="212"/>
      <c r="K24" s="45" t="s">
        <v>96</v>
      </c>
      <c r="L24" s="45">
        <f>$M$20+$M$18+$M$16</f>
        <v>13</v>
      </c>
      <c r="M24" s="1"/>
      <c r="N24" s="17"/>
      <c r="P24" s="144" t="s">
        <v>345</v>
      </c>
      <c r="Q24" s="24">
        <v>0</v>
      </c>
      <c r="R24" s="24">
        <f t="shared" si="2"/>
        <v>5</v>
      </c>
      <c r="S24" s="129"/>
      <c r="T24" s="151">
        <f>IF(Q24&lt;=19, ROUNDUP(0.5*Q24,0)+R24+S24,R24)+IF(meta!$A$2,1,0)</f>
        <v>5</v>
      </c>
    </row>
    <row r="25" spans="1:20" x14ac:dyDescent="0.25">
      <c r="A25" s="212">
        <f>C7</f>
        <v>20</v>
      </c>
      <c r="B25" s="212"/>
      <c r="C25" s="212"/>
      <c r="D25" s="212"/>
      <c r="E25" s="122"/>
      <c r="F25" s="122"/>
      <c r="G25" s="212">
        <f>A25+E25+F25</f>
        <v>20</v>
      </c>
      <c r="H25" s="212"/>
      <c r="I25" s="212"/>
      <c r="J25" s="212"/>
      <c r="K25" s="45" t="s">
        <v>94</v>
      </c>
      <c r="L25" s="45">
        <f>$N$20+$N$18+$N$16</f>
        <v>13</v>
      </c>
      <c r="M25" s="1"/>
      <c r="N25" s="17"/>
      <c r="P25" s="144" t="s">
        <v>68</v>
      </c>
      <c r="Q25" s="24">
        <v>0</v>
      </c>
      <c r="R25" s="24">
        <f>H7+H6</f>
        <v>11</v>
      </c>
      <c r="S25" s="129">
        <v>0</v>
      </c>
      <c r="T25" s="151">
        <f>IF(Q25&lt;=19, ROUNDUP(0.5*Q25,0)+R25+S25,R25)+IF(meta!$A$2,1,0)</f>
        <v>11</v>
      </c>
    </row>
    <row r="26" spans="1:20" x14ac:dyDescent="0.25">
      <c r="P26" s="146" t="s">
        <v>69</v>
      </c>
      <c r="Q26" s="24">
        <v>0</v>
      </c>
      <c r="R26" s="24">
        <f>H7+H6</f>
        <v>11</v>
      </c>
      <c r="S26" s="129"/>
      <c r="T26" s="151">
        <f>IF(Q26&lt;=19, ROUNDUP(0.5*Q26,0)+R26+S26,R26)+IF(meta!$A$2,1,0)</f>
        <v>11</v>
      </c>
    </row>
    <row r="27" spans="1:20" x14ac:dyDescent="0.25">
      <c r="B27" s="15" t="s">
        <v>398</v>
      </c>
      <c r="E27" s="98" t="s">
        <v>308</v>
      </c>
      <c r="K27" s="97" t="s">
        <v>307</v>
      </c>
      <c r="P27" s="144" t="s">
        <v>67</v>
      </c>
      <c r="Q27" s="24">
        <v>0</v>
      </c>
      <c r="R27" s="24">
        <f t="shared" ref="R27:R32" si="3">H$6</f>
        <v>6</v>
      </c>
      <c r="S27" s="129"/>
      <c r="T27" s="151">
        <f>IF(Q27&lt;=19, ROUNDUP(0.5*Q27,0)+R27+S27,R27)+IF(meta!$A$2,1,0)</f>
        <v>6</v>
      </c>
    </row>
    <row r="28" spans="1:20" x14ac:dyDescent="0.25">
      <c r="A28" s="15" t="s">
        <v>101</v>
      </c>
      <c r="B28" t="s">
        <v>352</v>
      </c>
      <c r="C28" t="s">
        <v>160</v>
      </c>
      <c r="E28" s="15" t="s">
        <v>52</v>
      </c>
      <c r="F28" t="s">
        <v>151</v>
      </c>
      <c r="G28" t="s">
        <v>152</v>
      </c>
      <c r="K28" s="15" t="s">
        <v>52</v>
      </c>
      <c r="L28" t="s">
        <v>151</v>
      </c>
      <c r="M28" t="s">
        <v>152</v>
      </c>
      <c r="P28" s="144" t="s">
        <v>41</v>
      </c>
      <c r="Q28" s="24">
        <v>0</v>
      </c>
      <c r="R28" s="24">
        <f t="shared" si="3"/>
        <v>6</v>
      </c>
      <c r="S28" s="129"/>
      <c r="T28" s="151">
        <f>IF(Q28&lt;=19, ROUNDUP(0.5*Q28,0)+R28+S28,R28)+IF(meta!$A$2,1,0)</f>
        <v>6</v>
      </c>
    </row>
    <row r="29" spans="1:20" x14ac:dyDescent="0.25">
      <c r="A29" s="4" t="s">
        <v>330</v>
      </c>
      <c r="B29" s="16">
        <v>4</v>
      </c>
      <c r="C29" s="16">
        <v>1</v>
      </c>
      <c r="E29" s="4" t="s">
        <v>116</v>
      </c>
      <c r="F29" s="16">
        <v>2</v>
      </c>
      <c r="G29" s="16">
        <v>4</v>
      </c>
      <c r="K29" s="4" t="s">
        <v>116</v>
      </c>
      <c r="L29" s="16">
        <v>2</v>
      </c>
      <c r="M29" s="16">
        <v>4</v>
      </c>
      <c r="P29" s="144" t="s">
        <v>40</v>
      </c>
      <c r="Q29" s="24">
        <v>0</v>
      </c>
      <c r="R29" s="24">
        <f t="shared" si="3"/>
        <v>6</v>
      </c>
      <c r="S29" s="129"/>
      <c r="T29" s="151">
        <f>IF(Q29&lt;=19, ROUNDUP(0.5*Q29,0)+R29+S29,R29)+IF(meta!$A$2,1,0)</f>
        <v>6</v>
      </c>
    </row>
    <row r="30" spans="1:20" x14ac:dyDescent="0.25">
      <c r="A30" s="4" t="s">
        <v>331</v>
      </c>
      <c r="B30" s="16">
        <v>4</v>
      </c>
      <c r="C30" s="16">
        <v>3</v>
      </c>
      <c r="E30" s="15" t="s">
        <v>52</v>
      </c>
      <c r="F30" t="s">
        <v>151</v>
      </c>
      <c r="G30" t="s">
        <v>152</v>
      </c>
      <c r="K30" s="15" t="s">
        <v>52</v>
      </c>
      <c r="L30" t="s">
        <v>151</v>
      </c>
      <c r="M30" t="s">
        <v>152</v>
      </c>
      <c r="P30" s="144" t="s">
        <v>70</v>
      </c>
      <c r="Q30" s="24">
        <v>0</v>
      </c>
      <c r="R30" s="24">
        <f t="shared" si="3"/>
        <v>6</v>
      </c>
      <c r="S30" s="129"/>
      <c r="T30" s="151">
        <f>IF(Q30&lt;=19, ROUNDUP(0.5*Q30,0)+R30+S30,R30)+IF(meta!$A$2,1,0)</f>
        <v>6</v>
      </c>
    </row>
    <row r="31" spans="1:20" x14ac:dyDescent="0.25">
      <c r="A31" s="4" t="s">
        <v>399</v>
      </c>
      <c r="B31" s="16">
        <v>1</v>
      </c>
      <c r="C31" s="16">
        <v>2</v>
      </c>
      <c r="E31" s="4" t="s">
        <v>122</v>
      </c>
      <c r="F31" s="16">
        <v>2</v>
      </c>
      <c r="G31" s="16">
        <v>8</v>
      </c>
      <c r="K31" s="4" t="s">
        <v>119</v>
      </c>
      <c r="L31" s="16">
        <v>1</v>
      </c>
      <c r="M31" s="16">
        <v>8</v>
      </c>
      <c r="P31" s="144" t="s">
        <v>71</v>
      </c>
      <c r="Q31" s="24">
        <v>0</v>
      </c>
      <c r="R31" s="24">
        <f t="shared" si="3"/>
        <v>6</v>
      </c>
      <c r="S31" s="129"/>
      <c r="T31" s="151">
        <f>IF(Q31&lt;=19, ROUNDUP(0.5*Q31,0)+R31+S31,R31)+IF(meta!$A$2,1,0)</f>
        <v>6</v>
      </c>
    </row>
    <row r="32" spans="1:20" x14ac:dyDescent="0.25">
      <c r="A32" s="4" t="s">
        <v>400</v>
      </c>
      <c r="B32" s="16">
        <v>0</v>
      </c>
      <c r="C32" s="16">
        <v>3</v>
      </c>
      <c r="E32" s="15" t="s">
        <v>282</v>
      </c>
      <c r="F32" t="s">
        <v>156</v>
      </c>
      <c r="K32" s="15" t="s">
        <v>142</v>
      </c>
      <c r="L32" t="s">
        <v>119</v>
      </c>
      <c r="P32" s="145" t="s">
        <v>45</v>
      </c>
      <c r="Q32" s="24">
        <v>0</v>
      </c>
      <c r="R32" s="24">
        <f t="shared" si="3"/>
        <v>6</v>
      </c>
      <c r="S32" s="129"/>
      <c r="T32" s="151">
        <f>IF(Q32&lt;=19, ROUNDUP(0.5*Q32,0)+R32+S32,R32)+IF(meta!$A$2,1,0)</f>
        <v>6</v>
      </c>
    </row>
    <row r="33" spans="1:20" x14ac:dyDescent="0.25">
      <c r="A33" s="4" t="s">
        <v>401</v>
      </c>
      <c r="B33" s="16">
        <v>0</v>
      </c>
      <c r="C33" s="16">
        <v>1</v>
      </c>
      <c r="Q33"/>
      <c r="R33"/>
      <c r="S33"/>
      <c r="T33" s="179"/>
    </row>
    <row r="34" spans="1:20" x14ac:dyDescent="0.25">
      <c r="E34" s="15" t="s">
        <v>52</v>
      </c>
      <c r="F34" t="s">
        <v>151</v>
      </c>
      <c r="G34" t="s">
        <v>152</v>
      </c>
      <c r="K34" s="15" t="s">
        <v>52</v>
      </c>
      <c r="L34" t="s">
        <v>151</v>
      </c>
      <c r="M34" t="s">
        <v>152</v>
      </c>
      <c r="Q34"/>
      <c r="R34"/>
      <c r="S34"/>
      <c r="T34" s="179"/>
    </row>
    <row r="35" spans="1:20" x14ac:dyDescent="0.25">
      <c r="E35" s="4" t="s">
        <v>279</v>
      </c>
      <c r="F35" s="16">
        <v>2</v>
      </c>
      <c r="G35" s="16">
        <v>20</v>
      </c>
      <c r="K35" s="4" t="s">
        <v>128</v>
      </c>
      <c r="L35" s="16">
        <v>1</v>
      </c>
      <c r="M35" s="16">
        <v>20</v>
      </c>
      <c r="Q35"/>
      <c r="R35"/>
      <c r="S35"/>
      <c r="T35" s="179"/>
    </row>
    <row r="36" spans="1:20" x14ac:dyDescent="0.25">
      <c r="Q36"/>
      <c r="R36"/>
      <c r="S36"/>
      <c r="T36" s="179"/>
    </row>
    <row r="37" spans="1:20" x14ac:dyDescent="0.25">
      <c r="Q37"/>
      <c r="R37"/>
      <c r="S37"/>
      <c r="T37" s="179"/>
    </row>
    <row r="38" spans="1:20" x14ac:dyDescent="0.25">
      <c r="Q38"/>
      <c r="R38"/>
      <c r="S38"/>
      <c r="T38" s="179"/>
    </row>
    <row r="39" spans="1:20" x14ac:dyDescent="0.25">
      <c r="Q39"/>
      <c r="R39"/>
      <c r="S39"/>
      <c r="T39" s="179"/>
    </row>
    <row r="40" spans="1:20" x14ac:dyDescent="0.25">
      <c r="Q40"/>
      <c r="R40"/>
      <c r="S40"/>
      <c r="T40" s="179"/>
    </row>
    <row r="41" spans="1:20" x14ac:dyDescent="0.25">
      <c r="Q41"/>
      <c r="R41"/>
      <c r="S41"/>
      <c r="T41" s="179"/>
    </row>
    <row r="42" spans="1:20" x14ac:dyDescent="0.25">
      <c r="Q42"/>
      <c r="R42"/>
      <c r="S42"/>
      <c r="T42" s="179"/>
    </row>
    <row r="43" spans="1:20" x14ac:dyDescent="0.25">
      <c r="Q43"/>
      <c r="R43"/>
      <c r="S43"/>
      <c r="T43" s="179"/>
    </row>
    <row r="44" spans="1:20" x14ac:dyDescent="0.25">
      <c r="Q44"/>
      <c r="R44"/>
      <c r="S44"/>
      <c r="T44" s="179"/>
    </row>
    <row r="45" spans="1:20" x14ac:dyDescent="0.25">
      <c r="Q45"/>
      <c r="R45"/>
      <c r="S45"/>
      <c r="T45" s="179"/>
    </row>
    <row r="46" spans="1:20" x14ac:dyDescent="0.25">
      <c r="Q46"/>
      <c r="R46"/>
      <c r="S46"/>
      <c r="T46" s="179"/>
    </row>
    <row r="47" spans="1:20" x14ac:dyDescent="0.25">
      <c r="Q47"/>
      <c r="R47"/>
      <c r="S47"/>
      <c r="T47" s="179"/>
    </row>
    <row r="48" spans="1:20" x14ac:dyDescent="0.25">
      <c r="Q48"/>
      <c r="R48"/>
      <c r="S48"/>
      <c r="T48" s="179"/>
    </row>
    <row r="49" spans="17:20" x14ac:dyDescent="0.25">
      <c r="Q49"/>
      <c r="R49"/>
      <c r="S49"/>
      <c r="T49" s="179"/>
    </row>
    <row r="50" spans="17:20" x14ac:dyDescent="0.25">
      <c r="Q50"/>
      <c r="R50"/>
      <c r="S50"/>
      <c r="T50" s="179"/>
    </row>
    <row r="51" spans="17:20" x14ac:dyDescent="0.25">
      <c r="Q51"/>
      <c r="R51"/>
      <c r="S51"/>
      <c r="T51" s="179"/>
    </row>
    <row r="52" spans="17:20" x14ac:dyDescent="0.25">
      <c r="Q52"/>
      <c r="R52"/>
      <c r="S52"/>
      <c r="T52" s="179"/>
    </row>
    <row r="53" spans="17:20" x14ac:dyDescent="0.25">
      <c r="Q53"/>
      <c r="R53"/>
      <c r="S53"/>
      <c r="T53" s="179"/>
    </row>
    <row r="54" spans="17:20" x14ac:dyDescent="0.25">
      <c r="Q54"/>
      <c r="R54"/>
      <c r="S54"/>
      <c r="T54" s="179"/>
    </row>
    <row r="55" spans="17:20" x14ac:dyDescent="0.25">
      <c r="Q55"/>
      <c r="R55"/>
      <c r="S55"/>
      <c r="T55" s="179"/>
    </row>
    <row r="56" spans="17:20" x14ac:dyDescent="0.25">
      <c r="Q56"/>
      <c r="R56"/>
      <c r="S56"/>
      <c r="T56" s="179"/>
    </row>
    <row r="57" spans="17:20" x14ac:dyDescent="0.25">
      <c r="Q57"/>
      <c r="R57"/>
      <c r="S57"/>
      <c r="T57" s="179"/>
    </row>
    <row r="58" spans="17:20" x14ac:dyDescent="0.25">
      <c r="Q58"/>
      <c r="R58"/>
      <c r="S58"/>
      <c r="T58" s="179"/>
    </row>
    <row r="59" spans="17:20" x14ac:dyDescent="0.25">
      <c r="Q59"/>
      <c r="R59"/>
      <c r="S59"/>
      <c r="T59" s="179"/>
    </row>
    <row r="60" spans="17:20" x14ac:dyDescent="0.25">
      <c r="Q60"/>
      <c r="R60"/>
      <c r="S60"/>
      <c r="T60" s="179"/>
    </row>
    <row r="61" spans="17:20" x14ac:dyDescent="0.25">
      <c r="Q61"/>
      <c r="R61"/>
      <c r="S61"/>
      <c r="T61" s="179"/>
    </row>
    <row r="62" spans="17:20" x14ac:dyDescent="0.25">
      <c r="Q62"/>
      <c r="R62"/>
      <c r="S62"/>
      <c r="T62" s="179"/>
    </row>
    <row r="63" spans="17:20" x14ac:dyDescent="0.25">
      <c r="Q63"/>
      <c r="R63"/>
      <c r="S63"/>
      <c r="T63" s="179"/>
    </row>
    <row r="64" spans="17:20" x14ac:dyDescent="0.25">
      <c r="Q64"/>
      <c r="R64"/>
      <c r="S64"/>
      <c r="T64" s="179"/>
    </row>
    <row r="65" spans="17:20" x14ac:dyDescent="0.25">
      <c r="Q65"/>
      <c r="R65"/>
      <c r="S65"/>
      <c r="T65" s="179"/>
    </row>
    <row r="66" spans="17:20" x14ac:dyDescent="0.25">
      <c r="Q66"/>
      <c r="R66"/>
      <c r="S66"/>
      <c r="T66" s="179"/>
    </row>
    <row r="67" spans="17:20" x14ac:dyDescent="0.25">
      <c r="Q67"/>
      <c r="R67"/>
      <c r="S67"/>
      <c r="T67" s="179"/>
    </row>
    <row r="68" spans="17:20" x14ac:dyDescent="0.25">
      <c r="Q68"/>
      <c r="R68"/>
      <c r="S68"/>
      <c r="T68" s="179"/>
    </row>
    <row r="69" spans="17:20" x14ac:dyDescent="0.25">
      <c r="Q69"/>
      <c r="R69"/>
      <c r="S69"/>
      <c r="T69" s="179"/>
    </row>
    <row r="70" spans="17:20" x14ac:dyDescent="0.25">
      <c r="Q70"/>
      <c r="R70"/>
      <c r="S70"/>
      <c r="T70" s="179"/>
    </row>
    <row r="71" spans="17:20" x14ac:dyDescent="0.25">
      <c r="Q71"/>
      <c r="R71"/>
      <c r="S71"/>
      <c r="T71" s="179"/>
    </row>
    <row r="72" spans="17:20" x14ac:dyDescent="0.25">
      <c r="Q72"/>
      <c r="R72"/>
      <c r="S72"/>
      <c r="T72" s="179"/>
    </row>
    <row r="73" spans="17:20" x14ac:dyDescent="0.25">
      <c r="Q73"/>
      <c r="R73"/>
      <c r="S73"/>
      <c r="T73" s="179"/>
    </row>
    <row r="74" spans="17:20" x14ac:dyDescent="0.25">
      <c r="Q74"/>
      <c r="R74"/>
      <c r="S74"/>
      <c r="T74" s="179"/>
    </row>
    <row r="75" spans="17:20" x14ac:dyDescent="0.25">
      <c r="Q75"/>
      <c r="R75"/>
      <c r="S75"/>
      <c r="T75" s="179"/>
    </row>
    <row r="76" spans="17:20" x14ac:dyDescent="0.25">
      <c r="Q76"/>
      <c r="R76"/>
      <c r="S76"/>
      <c r="T76" s="179"/>
    </row>
    <row r="77" spans="17:20" x14ac:dyDescent="0.25">
      <c r="Q77"/>
      <c r="R77"/>
      <c r="S77"/>
      <c r="T77" s="179"/>
    </row>
    <row r="78" spans="17:20" x14ac:dyDescent="0.25">
      <c r="Q78"/>
      <c r="R78"/>
      <c r="S78"/>
      <c r="T78" s="179"/>
    </row>
    <row r="79" spans="17:20" x14ac:dyDescent="0.25">
      <c r="Q79"/>
      <c r="R79"/>
      <c r="S79"/>
      <c r="T79" s="179"/>
    </row>
    <row r="80" spans="17:20" x14ac:dyDescent="0.25">
      <c r="Q80"/>
      <c r="R80"/>
      <c r="S80"/>
      <c r="T80" s="179"/>
    </row>
    <row r="81" spans="17:20" x14ac:dyDescent="0.25">
      <c r="Q81"/>
      <c r="R81"/>
      <c r="S81"/>
      <c r="T81" s="179"/>
    </row>
    <row r="82" spans="17:20" x14ac:dyDescent="0.25">
      <c r="Q82"/>
      <c r="R82"/>
      <c r="S82"/>
      <c r="T82" s="179"/>
    </row>
    <row r="83" spans="17:20" x14ac:dyDescent="0.25">
      <c r="Q83"/>
      <c r="R83"/>
      <c r="S83"/>
      <c r="T83" s="179"/>
    </row>
    <row r="84" spans="17:20" x14ac:dyDescent="0.25">
      <c r="Q84"/>
      <c r="R84"/>
      <c r="S84"/>
      <c r="T84" s="179"/>
    </row>
    <row r="85" spans="17:20" x14ac:dyDescent="0.25">
      <c r="Q85"/>
      <c r="R85"/>
      <c r="S85"/>
      <c r="T85" s="179"/>
    </row>
    <row r="86" spans="17:20" x14ac:dyDescent="0.25">
      <c r="Q86"/>
      <c r="R86"/>
      <c r="S86"/>
      <c r="T86" s="179"/>
    </row>
    <row r="87" spans="17:20" x14ac:dyDescent="0.25">
      <c r="Q87"/>
      <c r="R87"/>
      <c r="S87"/>
      <c r="T87" s="179"/>
    </row>
    <row r="88" spans="17:20" x14ac:dyDescent="0.25">
      <c r="Q88"/>
      <c r="R88"/>
      <c r="S88"/>
      <c r="T88" s="179"/>
    </row>
    <row r="89" spans="17:20" x14ac:dyDescent="0.25">
      <c r="Q89"/>
      <c r="R89"/>
      <c r="S89"/>
      <c r="T89" s="179"/>
    </row>
    <row r="90" spans="17:20" x14ac:dyDescent="0.25">
      <c r="Q90"/>
      <c r="R90"/>
      <c r="S90"/>
      <c r="T90" s="179"/>
    </row>
    <row r="91" spans="17:20" x14ac:dyDescent="0.25">
      <c r="Q91"/>
      <c r="R91"/>
      <c r="S91"/>
      <c r="T91" s="179"/>
    </row>
    <row r="92" spans="17:20" x14ac:dyDescent="0.25">
      <c r="Q92"/>
      <c r="R92"/>
      <c r="S92"/>
      <c r="T92" s="179"/>
    </row>
    <row r="93" spans="17:20" x14ac:dyDescent="0.25">
      <c r="Q93"/>
      <c r="R93"/>
      <c r="S93"/>
      <c r="T93" s="179"/>
    </row>
    <row r="94" spans="17:20" x14ac:dyDescent="0.25">
      <c r="Q94"/>
      <c r="R94"/>
      <c r="S94"/>
      <c r="T94" s="179"/>
    </row>
    <row r="95" spans="17:20" x14ac:dyDescent="0.25">
      <c r="Q95"/>
      <c r="R95"/>
      <c r="S95"/>
      <c r="T95" s="179"/>
    </row>
    <row r="96" spans="17:20" x14ac:dyDescent="0.25">
      <c r="Q96"/>
      <c r="R96"/>
      <c r="S96"/>
      <c r="T96" s="179"/>
    </row>
    <row r="97" spans="1:20" x14ac:dyDescent="0.25">
      <c r="Q97"/>
      <c r="R97"/>
      <c r="S97"/>
      <c r="T97" s="179"/>
    </row>
    <row r="98" spans="1:20" x14ac:dyDescent="0.25">
      <c r="Q98"/>
      <c r="R98"/>
      <c r="S98"/>
      <c r="T98" s="179"/>
    </row>
    <row r="99" spans="1:20" x14ac:dyDescent="0.25">
      <c r="Q99"/>
      <c r="R99"/>
      <c r="S99"/>
      <c r="T99" s="179"/>
    </row>
    <row r="100" spans="1:20" x14ac:dyDescent="0.25">
      <c r="Q100"/>
      <c r="R100"/>
      <c r="S100"/>
      <c r="T100" s="179"/>
    </row>
    <row r="101" spans="1:20" x14ac:dyDescent="0.25">
      <c r="Q101"/>
      <c r="R101"/>
      <c r="S101"/>
      <c r="T101" s="179"/>
    </row>
    <row r="102" spans="1:20" x14ac:dyDescent="0.25">
      <c r="Q102"/>
      <c r="R102"/>
      <c r="S102"/>
      <c r="T102" s="179"/>
    </row>
    <row r="103" spans="1:20" x14ac:dyDescent="0.25">
      <c r="Q103"/>
      <c r="R103"/>
      <c r="S103"/>
      <c r="T103" s="179"/>
    </row>
    <row r="104" spans="1:20" x14ac:dyDescent="0.25">
      <c r="Q104"/>
      <c r="R104"/>
      <c r="S104"/>
      <c r="T104" s="179"/>
    </row>
    <row r="105" spans="1:20" x14ac:dyDescent="0.25">
      <c r="K105" s="6"/>
      <c r="Q105"/>
      <c r="R105"/>
      <c r="S105"/>
      <c r="T105" s="179"/>
    </row>
    <row r="106" spans="1:20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M106" s="6"/>
      <c r="Q106"/>
      <c r="R106"/>
      <c r="S106"/>
      <c r="T106" s="179"/>
    </row>
    <row r="107" spans="1:20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M107" s="6"/>
      <c r="Q107"/>
      <c r="R107"/>
      <c r="S107"/>
      <c r="T107" s="179"/>
    </row>
    <row r="108" spans="1:20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Q108"/>
      <c r="R108"/>
      <c r="S108"/>
      <c r="T108" s="179"/>
    </row>
    <row r="109" spans="1:20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L109" s="6"/>
      <c r="M109" s="6"/>
      <c r="Q109"/>
      <c r="R109"/>
      <c r="S109"/>
      <c r="T109" s="179"/>
    </row>
    <row r="110" spans="1:20" x14ac:dyDescent="0.25">
      <c r="L110" s="6"/>
      <c r="Q110"/>
      <c r="R110"/>
      <c r="S110"/>
      <c r="T110" s="179"/>
    </row>
    <row r="111" spans="1:20" x14ac:dyDescent="0.25">
      <c r="L111" s="6"/>
      <c r="Q111"/>
      <c r="R111"/>
      <c r="S111"/>
      <c r="T111" s="179"/>
    </row>
    <row r="112" spans="1:20" x14ac:dyDescent="0.25">
      <c r="N112" s="6"/>
      <c r="Q112"/>
      <c r="R112"/>
      <c r="S112"/>
      <c r="T112" s="179"/>
    </row>
    <row r="113" spans="14:20" x14ac:dyDescent="0.25">
      <c r="N113" s="6"/>
      <c r="Q113"/>
      <c r="R113"/>
      <c r="S113"/>
      <c r="T113" s="179"/>
    </row>
    <row r="114" spans="14:20" x14ac:dyDescent="0.25">
      <c r="N114" s="6"/>
      <c r="Q114"/>
      <c r="R114"/>
      <c r="S114"/>
      <c r="T114" s="179"/>
    </row>
    <row r="115" spans="14:20" x14ac:dyDescent="0.25">
      <c r="N115" s="6"/>
      <c r="Q115"/>
      <c r="R115"/>
      <c r="S115"/>
      <c r="T115" s="179"/>
    </row>
    <row r="116" spans="14:20" x14ac:dyDescent="0.25">
      <c r="Q116"/>
      <c r="R116"/>
      <c r="S116"/>
      <c r="T116" s="179"/>
    </row>
    <row r="117" spans="14:20" x14ac:dyDescent="0.25">
      <c r="Q117"/>
      <c r="R117"/>
      <c r="S117"/>
      <c r="T117" s="179"/>
    </row>
    <row r="118" spans="14:20" x14ac:dyDescent="0.25">
      <c r="Q118"/>
      <c r="R118"/>
      <c r="S118"/>
      <c r="T118" s="179"/>
    </row>
    <row r="119" spans="14:20" x14ac:dyDescent="0.25">
      <c r="Q119"/>
      <c r="R119"/>
      <c r="S119"/>
      <c r="T119" s="179"/>
    </row>
    <row r="120" spans="14:20" x14ac:dyDescent="0.25">
      <c r="Q120"/>
      <c r="R120"/>
      <c r="S120"/>
      <c r="T120" s="179"/>
    </row>
    <row r="121" spans="14:20" x14ac:dyDescent="0.25">
      <c r="Q121"/>
      <c r="R121"/>
      <c r="S121"/>
      <c r="T121" s="179"/>
    </row>
    <row r="122" spans="14:20" x14ac:dyDescent="0.25">
      <c r="Q122"/>
      <c r="R122"/>
      <c r="S122"/>
      <c r="T122" s="179"/>
    </row>
    <row r="123" spans="14:20" x14ac:dyDescent="0.25">
      <c r="Q123"/>
      <c r="R123"/>
      <c r="S123"/>
      <c r="T123" s="179"/>
    </row>
    <row r="124" spans="14:20" x14ac:dyDescent="0.25">
      <c r="Q124"/>
      <c r="R124"/>
      <c r="S124"/>
      <c r="T124" s="179"/>
    </row>
    <row r="125" spans="14:20" x14ac:dyDescent="0.25">
      <c r="Q125"/>
      <c r="R125"/>
      <c r="S125"/>
      <c r="T125" s="179"/>
    </row>
    <row r="126" spans="14:20" x14ac:dyDescent="0.25">
      <c r="Q126"/>
      <c r="R126"/>
      <c r="S126"/>
      <c r="T126" s="179"/>
    </row>
    <row r="127" spans="14:20" x14ac:dyDescent="0.25">
      <c r="Q127"/>
      <c r="R127"/>
      <c r="S127"/>
      <c r="T127" s="179"/>
    </row>
    <row r="128" spans="14:20" x14ac:dyDescent="0.25">
      <c r="Q128"/>
      <c r="R128"/>
      <c r="S128"/>
      <c r="T128" s="179"/>
    </row>
    <row r="129" spans="17:20" x14ac:dyDescent="0.25">
      <c r="Q129"/>
      <c r="R129"/>
      <c r="S129"/>
      <c r="T129" s="179"/>
    </row>
    <row r="130" spans="17:20" x14ac:dyDescent="0.25">
      <c r="Q130"/>
      <c r="R130"/>
      <c r="S130"/>
      <c r="T130" s="179"/>
    </row>
    <row r="131" spans="17:20" x14ac:dyDescent="0.25">
      <c r="Q131"/>
      <c r="R131"/>
      <c r="S131"/>
      <c r="T131" s="179"/>
    </row>
    <row r="132" spans="17:20" x14ac:dyDescent="0.25">
      <c r="Q132"/>
      <c r="R132"/>
      <c r="S132"/>
      <c r="T132" s="179"/>
    </row>
    <row r="133" spans="17:20" x14ac:dyDescent="0.25">
      <c r="Q133"/>
      <c r="R133"/>
      <c r="S133"/>
      <c r="T133" s="179"/>
    </row>
    <row r="134" spans="17:20" x14ac:dyDescent="0.25">
      <c r="Q134"/>
      <c r="R134"/>
      <c r="S134"/>
      <c r="T134" s="179"/>
    </row>
    <row r="135" spans="17:20" x14ac:dyDescent="0.25">
      <c r="Q135"/>
      <c r="R135"/>
      <c r="S135"/>
      <c r="T135" s="179"/>
    </row>
    <row r="136" spans="17:20" x14ac:dyDescent="0.25">
      <c r="Q136"/>
      <c r="R136"/>
      <c r="S136"/>
      <c r="T136" s="179"/>
    </row>
    <row r="137" spans="17:20" x14ac:dyDescent="0.25">
      <c r="Q137"/>
      <c r="R137"/>
      <c r="S137"/>
      <c r="T137" s="179"/>
    </row>
    <row r="138" spans="17:20" x14ac:dyDescent="0.25">
      <c r="Q138"/>
      <c r="R138"/>
      <c r="S138"/>
      <c r="T138" s="179"/>
    </row>
    <row r="139" spans="17:20" x14ac:dyDescent="0.25">
      <c r="Q139"/>
      <c r="R139"/>
      <c r="S139"/>
      <c r="T139" s="179"/>
    </row>
    <row r="140" spans="17:20" x14ac:dyDescent="0.25">
      <c r="Q140"/>
      <c r="R140"/>
      <c r="S140"/>
      <c r="T140" s="179"/>
    </row>
    <row r="141" spans="17:20" x14ac:dyDescent="0.25">
      <c r="Q141"/>
      <c r="R141"/>
      <c r="S141"/>
      <c r="T141" s="179"/>
    </row>
    <row r="142" spans="17:20" x14ac:dyDescent="0.25">
      <c r="Q142"/>
      <c r="R142"/>
      <c r="S142"/>
      <c r="T142" s="179"/>
    </row>
    <row r="143" spans="17:20" x14ac:dyDescent="0.25">
      <c r="Q143"/>
      <c r="R143"/>
      <c r="S143"/>
      <c r="T143" s="179"/>
    </row>
    <row r="144" spans="17:20" x14ac:dyDescent="0.25">
      <c r="Q144"/>
      <c r="R144"/>
      <c r="S144"/>
      <c r="T144" s="179"/>
    </row>
    <row r="145" spans="17:20" x14ac:dyDescent="0.25">
      <c r="Q145"/>
      <c r="R145"/>
      <c r="S145"/>
      <c r="T145" s="179"/>
    </row>
    <row r="146" spans="17:20" x14ac:dyDescent="0.25">
      <c r="Q146"/>
      <c r="R146"/>
      <c r="S146"/>
      <c r="T146" s="179"/>
    </row>
    <row r="147" spans="17:20" x14ac:dyDescent="0.25">
      <c r="Q147"/>
      <c r="R147"/>
      <c r="S147"/>
      <c r="T147" s="179"/>
    </row>
    <row r="148" spans="17:20" x14ac:dyDescent="0.25">
      <c r="Q148"/>
      <c r="R148"/>
      <c r="S148"/>
      <c r="T148" s="179"/>
    </row>
    <row r="149" spans="17:20" x14ac:dyDescent="0.25">
      <c r="Q149"/>
      <c r="R149"/>
      <c r="S149"/>
      <c r="T149" s="179"/>
    </row>
    <row r="150" spans="17:20" x14ac:dyDescent="0.25">
      <c r="Q150"/>
      <c r="R150"/>
      <c r="S150"/>
      <c r="T150" s="179"/>
    </row>
    <row r="151" spans="17:20" x14ac:dyDescent="0.25">
      <c r="Q151"/>
      <c r="R151"/>
      <c r="S151"/>
      <c r="T151" s="179"/>
    </row>
    <row r="152" spans="17:20" x14ac:dyDescent="0.25">
      <c r="Q152"/>
      <c r="R152"/>
      <c r="S152"/>
      <c r="T152" s="179"/>
    </row>
    <row r="153" spans="17:20" x14ac:dyDescent="0.25">
      <c r="Q153"/>
      <c r="R153"/>
      <c r="S153"/>
      <c r="T153" s="179"/>
    </row>
    <row r="154" spans="17:20" x14ac:dyDescent="0.25">
      <c r="Q154"/>
      <c r="R154"/>
      <c r="S154"/>
      <c r="T154" s="179"/>
    </row>
    <row r="155" spans="17:20" x14ac:dyDescent="0.25">
      <c r="Q155"/>
      <c r="R155"/>
      <c r="S155"/>
      <c r="T155" s="179"/>
    </row>
    <row r="156" spans="17:20" x14ac:dyDescent="0.25">
      <c r="Q156"/>
      <c r="R156"/>
      <c r="S156"/>
      <c r="T156" s="179"/>
    </row>
    <row r="157" spans="17:20" x14ac:dyDescent="0.25">
      <c r="Q157"/>
      <c r="R157"/>
      <c r="S157"/>
      <c r="T157" s="179"/>
    </row>
    <row r="158" spans="17:20" x14ac:dyDescent="0.25">
      <c r="Q158"/>
      <c r="R158"/>
      <c r="S158"/>
      <c r="T158" s="179"/>
    </row>
    <row r="159" spans="17:20" x14ac:dyDescent="0.25">
      <c r="Q159"/>
      <c r="R159"/>
      <c r="S159"/>
      <c r="T159" s="179"/>
    </row>
    <row r="160" spans="17:20" x14ac:dyDescent="0.25">
      <c r="Q160"/>
      <c r="R160"/>
      <c r="S160"/>
      <c r="T160" s="179"/>
    </row>
    <row r="161" spans="17:20" x14ac:dyDescent="0.25">
      <c r="Q161"/>
      <c r="R161"/>
      <c r="S161"/>
      <c r="T161" s="179"/>
    </row>
    <row r="162" spans="17:20" x14ac:dyDescent="0.25">
      <c r="Q162"/>
      <c r="R162"/>
      <c r="S162"/>
      <c r="T162" s="179"/>
    </row>
    <row r="163" spans="17:20" x14ac:dyDescent="0.25">
      <c r="Q163"/>
      <c r="R163"/>
      <c r="S163"/>
      <c r="T163" s="179"/>
    </row>
    <row r="164" spans="17:20" x14ac:dyDescent="0.25">
      <c r="Q164"/>
      <c r="R164"/>
      <c r="S164"/>
      <c r="T164" s="179"/>
    </row>
    <row r="165" spans="17:20" x14ac:dyDescent="0.25">
      <c r="Q165"/>
      <c r="R165"/>
      <c r="S165"/>
      <c r="T165" s="179"/>
    </row>
    <row r="166" spans="17:20" x14ac:dyDescent="0.25">
      <c r="Q166"/>
      <c r="R166"/>
      <c r="S166"/>
      <c r="T166" s="179"/>
    </row>
    <row r="167" spans="17:20" x14ac:dyDescent="0.25">
      <c r="Q167"/>
      <c r="R167"/>
      <c r="S167"/>
      <c r="T167" s="179"/>
    </row>
    <row r="168" spans="17:20" x14ac:dyDescent="0.25">
      <c r="Q168"/>
      <c r="R168"/>
      <c r="S168"/>
      <c r="T168" s="179"/>
    </row>
    <row r="169" spans="17:20" x14ac:dyDescent="0.25">
      <c r="Q169"/>
      <c r="R169"/>
      <c r="S169"/>
      <c r="T169" s="179"/>
    </row>
    <row r="170" spans="17:20" x14ac:dyDescent="0.25">
      <c r="Q170"/>
      <c r="R170"/>
      <c r="S170"/>
      <c r="T170" s="179"/>
    </row>
    <row r="171" spans="17:20" x14ac:dyDescent="0.25">
      <c r="Q171"/>
      <c r="R171"/>
      <c r="S171"/>
      <c r="T171" s="179"/>
    </row>
    <row r="172" spans="17:20" x14ac:dyDescent="0.25">
      <c r="Q172"/>
      <c r="R172"/>
      <c r="S172"/>
      <c r="T172" s="179"/>
    </row>
    <row r="173" spans="17:20" x14ac:dyDescent="0.25">
      <c r="Q173"/>
      <c r="R173"/>
      <c r="S173"/>
      <c r="T173" s="179"/>
    </row>
    <row r="174" spans="17:20" x14ac:dyDescent="0.25">
      <c r="Q174"/>
      <c r="R174"/>
      <c r="S174"/>
      <c r="T174" s="179"/>
    </row>
    <row r="175" spans="17:20" x14ac:dyDescent="0.25">
      <c r="Q175"/>
      <c r="R175"/>
      <c r="S175"/>
      <c r="T175" s="179"/>
    </row>
    <row r="176" spans="17:20" x14ac:dyDescent="0.25">
      <c r="Q176"/>
      <c r="R176"/>
      <c r="S176"/>
      <c r="T176" s="179"/>
    </row>
    <row r="177" spans="17:20" x14ac:dyDescent="0.25">
      <c r="Q177"/>
      <c r="R177"/>
      <c r="S177"/>
      <c r="T177" s="179"/>
    </row>
    <row r="178" spans="17:20" x14ac:dyDescent="0.25">
      <c r="Q178"/>
      <c r="R178"/>
      <c r="S178"/>
      <c r="T178" s="179"/>
    </row>
    <row r="179" spans="17:20" x14ac:dyDescent="0.25">
      <c r="Q179"/>
      <c r="R179"/>
      <c r="S179"/>
      <c r="T179" s="179"/>
    </row>
    <row r="180" spans="17:20" x14ac:dyDescent="0.25">
      <c r="Q180"/>
      <c r="R180"/>
      <c r="S180"/>
      <c r="T180" s="179"/>
    </row>
    <row r="181" spans="17:20" x14ac:dyDescent="0.25">
      <c r="Q181"/>
      <c r="R181"/>
      <c r="S181"/>
      <c r="T181" s="179"/>
    </row>
    <row r="182" spans="17:20" x14ac:dyDescent="0.25">
      <c r="Q182"/>
      <c r="R182"/>
      <c r="S182"/>
      <c r="T182" s="179"/>
    </row>
    <row r="183" spans="17:20" x14ac:dyDescent="0.25">
      <c r="Q183"/>
      <c r="R183"/>
      <c r="S183"/>
      <c r="T183" s="179"/>
    </row>
    <row r="184" spans="17:20" x14ac:dyDescent="0.25">
      <c r="Q184"/>
      <c r="R184"/>
      <c r="S184"/>
      <c r="T184" s="179"/>
    </row>
    <row r="185" spans="17:20" x14ac:dyDescent="0.25">
      <c r="Q185"/>
      <c r="R185"/>
      <c r="S185"/>
      <c r="T185" s="179"/>
    </row>
    <row r="186" spans="17:20" x14ac:dyDescent="0.25">
      <c r="Q186"/>
      <c r="R186"/>
      <c r="S186"/>
      <c r="T186" s="179"/>
    </row>
    <row r="187" spans="17:20" x14ac:dyDescent="0.25">
      <c r="Q187"/>
      <c r="R187"/>
      <c r="S187"/>
      <c r="T187" s="179"/>
    </row>
    <row r="188" spans="17:20" x14ac:dyDescent="0.25">
      <c r="Q188"/>
      <c r="R188"/>
      <c r="S188"/>
      <c r="T188" s="179"/>
    </row>
    <row r="189" spans="17:20" x14ac:dyDescent="0.25">
      <c r="Q189"/>
      <c r="R189"/>
      <c r="S189"/>
      <c r="T189" s="179"/>
    </row>
    <row r="190" spans="17:20" x14ac:dyDescent="0.25">
      <c r="Q190"/>
      <c r="R190"/>
      <c r="S190"/>
      <c r="T190" s="179"/>
    </row>
    <row r="191" spans="17:20" x14ac:dyDescent="0.25">
      <c r="Q191"/>
      <c r="R191"/>
      <c r="S191"/>
      <c r="T191" s="179"/>
    </row>
    <row r="192" spans="17:20" x14ac:dyDescent="0.25">
      <c r="Q192"/>
      <c r="R192"/>
      <c r="S192"/>
      <c r="T192" s="179"/>
    </row>
    <row r="193" spans="17:20" x14ac:dyDescent="0.25">
      <c r="Q193"/>
      <c r="R193"/>
      <c r="S193"/>
      <c r="T193" s="179"/>
    </row>
    <row r="194" spans="17:20" x14ac:dyDescent="0.25">
      <c r="Q194"/>
      <c r="R194"/>
      <c r="S194"/>
      <c r="T194" s="179"/>
    </row>
    <row r="195" spans="17:20" x14ac:dyDescent="0.25">
      <c r="Q195"/>
      <c r="R195"/>
      <c r="S195"/>
      <c r="T195" s="179"/>
    </row>
    <row r="196" spans="17:20" x14ac:dyDescent="0.25">
      <c r="Q196"/>
      <c r="R196"/>
      <c r="S196"/>
      <c r="T196" s="179"/>
    </row>
    <row r="197" spans="17:20" x14ac:dyDescent="0.25">
      <c r="Q197"/>
      <c r="R197"/>
      <c r="S197"/>
      <c r="T197" s="179"/>
    </row>
    <row r="198" spans="17:20" x14ac:dyDescent="0.25">
      <c r="Q198"/>
      <c r="R198"/>
      <c r="S198"/>
      <c r="T198" s="179"/>
    </row>
    <row r="199" spans="17:20" x14ac:dyDescent="0.25">
      <c r="Q199"/>
      <c r="R199"/>
      <c r="S199"/>
      <c r="T199" s="179"/>
    </row>
    <row r="200" spans="17:20" x14ac:dyDescent="0.25">
      <c r="Q200"/>
      <c r="R200"/>
      <c r="S200"/>
      <c r="T200" s="179"/>
    </row>
    <row r="201" spans="17:20" x14ac:dyDescent="0.25">
      <c r="Q201"/>
      <c r="R201"/>
      <c r="S201"/>
      <c r="T201" s="179"/>
    </row>
    <row r="202" spans="17:20" x14ac:dyDescent="0.25">
      <c r="Q202"/>
      <c r="R202"/>
      <c r="S202"/>
      <c r="T202" s="179"/>
    </row>
    <row r="203" spans="17:20" x14ac:dyDescent="0.25">
      <c r="Q203"/>
      <c r="R203"/>
      <c r="S203"/>
      <c r="T203" s="179"/>
    </row>
    <row r="204" spans="17:20" x14ac:dyDescent="0.25">
      <c r="Q204"/>
      <c r="R204"/>
      <c r="S204"/>
      <c r="T204" s="179"/>
    </row>
    <row r="205" spans="17:20" x14ac:dyDescent="0.25">
      <c r="Q205"/>
      <c r="R205"/>
      <c r="S205"/>
      <c r="T205" s="179"/>
    </row>
    <row r="206" spans="17:20" x14ac:dyDescent="0.25">
      <c r="Q206"/>
      <c r="R206"/>
      <c r="S206"/>
      <c r="T206" s="179"/>
    </row>
    <row r="207" spans="17:20" x14ac:dyDescent="0.25">
      <c r="Q207"/>
      <c r="R207"/>
      <c r="S207"/>
      <c r="T207" s="179"/>
    </row>
    <row r="208" spans="17:20" x14ac:dyDescent="0.25">
      <c r="Q208"/>
      <c r="R208"/>
      <c r="S208"/>
      <c r="T208" s="179"/>
    </row>
    <row r="209" spans="17:20" x14ac:dyDescent="0.25">
      <c r="Q209"/>
      <c r="R209"/>
      <c r="S209"/>
      <c r="T209" s="179"/>
    </row>
    <row r="210" spans="17:20" x14ac:dyDescent="0.25">
      <c r="Q210"/>
      <c r="R210"/>
      <c r="S210"/>
      <c r="T210" s="179"/>
    </row>
    <row r="211" spans="17:20" x14ac:dyDescent="0.25">
      <c r="Q211"/>
      <c r="R211"/>
      <c r="S211"/>
      <c r="T211" s="179"/>
    </row>
    <row r="212" spans="17:20" x14ac:dyDescent="0.25">
      <c r="Q212"/>
      <c r="R212"/>
      <c r="S212"/>
      <c r="T212" s="179"/>
    </row>
    <row r="213" spans="17:20" x14ac:dyDescent="0.25">
      <c r="Q213"/>
      <c r="R213"/>
      <c r="S213"/>
      <c r="T213" s="179"/>
    </row>
    <row r="214" spans="17:20" x14ac:dyDescent="0.25">
      <c r="Q214"/>
      <c r="R214"/>
      <c r="S214"/>
      <c r="T214" s="179"/>
    </row>
    <row r="215" spans="17:20" x14ac:dyDescent="0.25">
      <c r="Q215"/>
      <c r="R215"/>
      <c r="S215"/>
      <c r="T215" s="179"/>
    </row>
    <row r="216" spans="17:20" x14ac:dyDescent="0.25">
      <c r="Q216"/>
      <c r="R216"/>
      <c r="S216"/>
      <c r="T216" s="179"/>
    </row>
    <row r="217" spans="17:20" x14ac:dyDescent="0.25">
      <c r="Q217"/>
      <c r="R217"/>
      <c r="S217"/>
      <c r="T217" s="179"/>
    </row>
    <row r="218" spans="17:20" x14ac:dyDescent="0.25">
      <c r="Q218"/>
      <c r="R218"/>
      <c r="S218"/>
      <c r="T218" s="179"/>
    </row>
    <row r="219" spans="17:20" x14ac:dyDescent="0.25">
      <c r="Q219"/>
      <c r="R219"/>
      <c r="S219"/>
      <c r="T219" s="179"/>
    </row>
    <row r="220" spans="17:20" x14ac:dyDescent="0.25">
      <c r="Q220"/>
      <c r="R220"/>
      <c r="S220"/>
      <c r="T220" s="179"/>
    </row>
    <row r="221" spans="17:20" x14ac:dyDescent="0.25">
      <c r="Q221"/>
      <c r="R221"/>
      <c r="S221"/>
      <c r="T221" s="179"/>
    </row>
    <row r="222" spans="17:20" x14ac:dyDescent="0.25">
      <c r="Q222"/>
      <c r="R222"/>
      <c r="S222"/>
      <c r="T222" s="179"/>
    </row>
    <row r="223" spans="17:20" x14ac:dyDescent="0.25">
      <c r="Q223"/>
      <c r="R223"/>
      <c r="S223"/>
      <c r="T223" s="179"/>
    </row>
    <row r="224" spans="17:20" x14ac:dyDescent="0.25">
      <c r="Q224"/>
      <c r="R224"/>
      <c r="S224"/>
      <c r="T224" s="179"/>
    </row>
    <row r="225" spans="17:20" x14ac:dyDescent="0.25">
      <c r="Q225"/>
      <c r="R225"/>
      <c r="S225"/>
      <c r="T225" s="179"/>
    </row>
    <row r="226" spans="17:20" x14ac:dyDescent="0.25">
      <c r="Q226"/>
      <c r="R226"/>
      <c r="S226"/>
      <c r="T226" s="179"/>
    </row>
    <row r="227" spans="17:20" x14ac:dyDescent="0.25">
      <c r="Q227"/>
      <c r="R227"/>
      <c r="S227"/>
      <c r="T227" s="179"/>
    </row>
    <row r="228" spans="17:20" x14ac:dyDescent="0.25">
      <c r="Q228"/>
      <c r="R228"/>
      <c r="S228"/>
      <c r="T228" s="179"/>
    </row>
    <row r="229" spans="17:20" x14ac:dyDescent="0.25">
      <c r="Q229"/>
      <c r="R229"/>
      <c r="S229"/>
      <c r="T229" s="179"/>
    </row>
    <row r="230" spans="17:20" x14ac:dyDescent="0.25">
      <c r="Q230"/>
      <c r="R230"/>
      <c r="S230"/>
      <c r="T230" s="179"/>
    </row>
    <row r="231" spans="17:20" x14ac:dyDescent="0.25">
      <c r="Q231"/>
      <c r="R231"/>
      <c r="S231"/>
      <c r="T231" s="179"/>
    </row>
    <row r="232" spans="17:20" x14ac:dyDescent="0.25">
      <c r="Q232"/>
      <c r="R232"/>
      <c r="S232"/>
      <c r="T232" s="179"/>
    </row>
    <row r="233" spans="17:20" x14ac:dyDescent="0.25">
      <c r="Q233"/>
      <c r="R233"/>
      <c r="S233"/>
      <c r="T233" s="179"/>
    </row>
    <row r="234" spans="17:20" x14ac:dyDescent="0.25">
      <c r="Q234"/>
      <c r="R234"/>
      <c r="S234"/>
      <c r="T234" s="179"/>
    </row>
    <row r="235" spans="17:20" x14ac:dyDescent="0.25">
      <c r="Q235"/>
      <c r="R235"/>
      <c r="S235"/>
      <c r="T235" s="179"/>
    </row>
    <row r="236" spans="17:20" x14ac:dyDescent="0.25">
      <c r="Q236"/>
      <c r="R236"/>
      <c r="S236"/>
      <c r="T236" s="179"/>
    </row>
    <row r="237" spans="17:20" x14ac:dyDescent="0.25">
      <c r="Q237"/>
      <c r="R237"/>
      <c r="S237"/>
      <c r="T237" s="179"/>
    </row>
    <row r="238" spans="17:20" x14ac:dyDescent="0.25">
      <c r="Q238"/>
      <c r="R238"/>
      <c r="S238"/>
      <c r="T238" s="179"/>
    </row>
    <row r="239" spans="17:20" x14ac:dyDescent="0.25">
      <c r="Q239"/>
      <c r="R239"/>
      <c r="S239"/>
      <c r="T239" s="179"/>
    </row>
    <row r="240" spans="17:20" x14ac:dyDescent="0.25">
      <c r="Q240"/>
      <c r="R240"/>
      <c r="S240"/>
      <c r="T240" s="179"/>
    </row>
    <row r="241" spans="17:20" x14ac:dyDescent="0.25">
      <c r="Q241"/>
      <c r="R241"/>
      <c r="S241"/>
      <c r="T241" s="179"/>
    </row>
    <row r="242" spans="17:20" x14ac:dyDescent="0.25">
      <c r="Q242"/>
      <c r="R242"/>
      <c r="S242"/>
      <c r="T242" s="179"/>
    </row>
    <row r="243" spans="17:20" x14ac:dyDescent="0.25">
      <c r="Q243"/>
      <c r="R243"/>
      <c r="S243"/>
      <c r="T243" s="179"/>
    </row>
    <row r="244" spans="17:20" x14ac:dyDescent="0.25">
      <c r="Q244"/>
      <c r="R244"/>
      <c r="S244"/>
      <c r="T244" s="179"/>
    </row>
    <row r="245" spans="17:20" x14ac:dyDescent="0.25">
      <c r="Q245"/>
      <c r="R245"/>
      <c r="S245"/>
      <c r="T245" s="179"/>
    </row>
    <row r="246" spans="17:20" x14ac:dyDescent="0.25">
      <c r="Q246"/>
      <c r="R246"/>
      <c r="S246"/>
      <c r="T246" s="179"/>
    </row>
    <row r="247" spans="17:20" x14ac:dyDescent="0.25">
      <c r="Q247"/>
      <c r="R247"/>
      <c r="S247"/>
      <c r="T247" s="179"/>
    </row>
    <row r="248" spans="17:20" x14ac:dyDescent="0.25">
      <c r="Q248"/>
      <c r="R248"/>
      <c r="S248"/>
      <c r="T248" s="179"/>
    </row>
    <row r="249" spans="17:20" x14ac:dyDescent="0.25">
      <c r="Q249"/>
      <c r="R249"/>
      <c r="S249"/>
      <c r="T249" s="179"/>
    </row>
    <row r="250" spans="17:20" x14ac:dyDescent="0.25">
      <c r="Q250"/>
      <c r="R250"/>
      <c r="S250"/>
      <c r="T250" s="179"/>
    </row>
    <row r="251" spans="17:20" x14ac:dyDescent="0.25">
      <c r="Q251"/>
      <c r="R251"/>
      <c r="S251"/>
      <c r="T251" s="179"/>
    </row>
    <row r="252" spans="17:20" x14ac:dyDescent="0.25">
      <c r="Q252"/>
      <c r="R252"/>
      <c r="S252"/>
      <c r="T252" s="179"/>
    </row>
    <row r="253" spans="17:20" x14ac:dyDescent="0.25">
      <c r="Q253"/>
      <c r="R253"/>
      <c r="S253"/>
      <c r="T253" s="179"/>
    </row>
    <row r="254" spans="17:20" x14ac:dyDescent="0.25">
      <c r="Q254"/>
      <c r="R254"/>
      <c r="S254"/>
      <c r="T254" s="179"/>
    </row>
    <row r="255" spans="17:20" x14ac:dyDescent="0.25">
      <c r="Q255"/>
      <c r="R255"/>
      <c r="S255"/>
      <c r="T255" s="179"/>
    </row>
    <row r="256" spans="17:20" x14ac:dyDescent="0.25">
      <c r="Q256"/>
      <c r="R256"/>
      <c r="S256"/>
      <c r="T256" s="179"/>
    </row>
    <row r="257" spans="17:20" x14ac:dyDescent="0.25">
      <c r="Q257"/>
      <c r="R257"/>
      <c r="S257"/>
      <c r="T257" s="179"/>
    </row>
    <row r="258" spans="17:20" x14ac:dyDescent="0.25">
      <c r="Q258"/>
      <c r="R258"/>
      <c r="S258"/>
      <c r="T258" s="179"/>
    </row>
    <row r="259" spans="17:20" x14ac:dyDescent="0.25">
      <c r="Q259"/>
      <c r="R259"/>
      <c r="S259"/>
      <c r="T259" s="179"/>
    </row>
    <row r="260" spans="17:20" x14ac:dyDescent="0.25">
      <c r="Q260"/>
      <c r="R260"/>
      <c r="S260"/>
      <c r="T260" s="179"/>
    </row>
    <row r="261" spans="17:20" x14ac:dyDescent="0.25">
      <c r="Q261"/>
      <c r="R261"/>
      <c r="S261"/>
      <c r="T261" s="179"/>
    </row>
    <row r="262" spans="17:20" x14ac:dyDescent="0.25">
      <c r="Q262"/>
      <c r="R262"/>
      <c r="S262"/>
      <c r="T262" s="179"/>
    </row>
    <row r="263" spans="17:20" x14ac:dyDescent="0.25">
      <c r="Q263"/>
      <c r="R263"/>
      <c r="S263"/>
      <c r="T263" s="179"/>
    </row>
    <row r="264" spans="17:20" x14ac:dyDescent="0.25">
      <c r="Q264"/>
      <c r="R264"/>
      <c r="S264"/>
      <c r="T264" s="179"/>
    </row>
    <row r="265" spans="17:20" x14ac:dyDescent="0.25">
      <c r="Q265"/>
      <c r="R265"/>
      <c r="S265"/>
      <c r="T265" s="179"/>
    </row>
    <row r="266" spans="17:20" x14ac:dyDescent="0.25">
      <c r="Q266"/>
      <c r="R266"/>
      <c r="S266"/>
      <c r="T266" s="179"/>
    </row>
    <row r="267" spans="17:20" x14ac:dyDescent="0.25">
      <c r="Q267"/>
      <c r="R267"/>
      <c r="S267"/>
      <c r="T267" s="179"/>
    </row>
    <row r="268" spans="17:20" x14ac:dyDescent="0.25">
      <c r="Q268"/>
      <c r="R268"/>
      <c r="S268"/>
      <c r="T268" s="179"/>
    </row>
    <row r="269" spans="17:20" x14ac:dyDescent="0.25">
      <c r="Q269"/>
      <c r="R269"/>
      <c r="S269"/>
      <c r="T269" s="179"/>
    </row>
    <row r="270" spans="17:20" x14ac:dyDescent="0.25">
      <c r="Q270"/>
      <c r="R270"/>
      <c r="S270"/>
      <c r="T270" s="179"/>
    </row>
    <row r="271" spans="17:20" x14ac:dyDescent="0.25">
      <c r="Q271"/>
      <c r="R271"/>
      <c r="S271"/>
      <c r="T271" s="179"/>
    </row>
    <row r="272" spans="17:20" x14ac:dyDescent="0.25">
      <c r="Q272"/>
      <c r="R272"/>
      <c r="S272"/>
      <c r="T272" s="179"/>
    </row>
    <row r="273" spans="17:20" x14ac:dyDescent="0.25">
      <c r="Q273"/>
      <c r="R273"/>
      <c r="S273"/>
      <c r="T273" s="179"/>
    </row>
    <row r="274" spans="17:20" x14ac:dyDescent="0.25">
      <c r="Q274"/>
      <c r="R274"/>
      <c r="S274"/>
      <c r="T274" s="179"/>
    </row>
    <row r="275" spans="17:20" x14ac:dyDescent="0.25">
      <c r="Q275"/>
      <c r="R275"/>
      <c r="S275"/>
      <c r="T275" s="179"/>
    </row>
    <row r="276" spans="17:20" x14ac:dyDescent="0.25">
      <c r="Q276"/>
      <c r="R276"/>
      <c r="S276"/>
      <c r="T276" s="179"/>
    </row>
    <row r="277" spans="17:20" x14ac:dyDescent="0.25">
      <c r="Q277"/>
      <c r="R277"/>
      <c r="S277"/>
      <c r="T277" s="179"/>
    </row>
    <row r="278" spans="17:20" x14ac:dyDescent="0.25">
      <c r="Q278"/>
      <c r="R278"/>
      <c r="S278"/>
      <c r="T278" s="179"/>
    </row>
    <row r="279" spans="17:20" x14ac:dyDescent="0.25">
      <c r="Q279"/>
      <c r="R279"/>
      <c r="S279"/>
      <c r="T279" s="179"/>
    </row>
    <row r="280" spans="17:20" x14ac:dyDescent="0.25">
      <c r="Q280"/>
      <c r="R280"/>
      <c r="S280"/>
      <c r="T280" s="179"/>
    </row>
    <row r="281" spans="17:20" x14ac:dyDescent="0.25">
      <c r="Q281"/>
      <c r="R281"/>
      <c r="S281"/>
      <c r="T281" s="179"/>
    </row>
    <row r="282" spans="17:20" x14ac:dyDescent="0.25">
      <c r="Q282"/>
      <c r="R282"/>
      <c r="S282"/>
      <c r="T282" s="179"/>
    </row>
    <row r="283" spans="17:20" x14ac:dyDescent="0.25">
      <c r="Q283"/>
      <c r="R283"/>
      <c r="S283"/>
      <c r="T283" s="179"/>
    </row>
    <row r="284" spans="17:20" x14ac:dyDescent="0.25">
      <c r="Q284"/>
      <c r="R284"/>
      <c r="S284"/>
      <c r="T284" s="179"/>
    </row>
    <row r="285" spans="17:20" x14ac:dyDescent="0.25">
      <c r="Q285"/>
      <c r="R285"/>
      <c r="S285"/>
      <c r="T285" s="179"/>
    </row>
    <row r="286" spans="17:20" x14ac:dyDescent="0.25">
      <c r="Q286"/>
      <c r="R286"/>
      <c r="S286"/>
      <c r="T286" s="179"/>
    </row>
    <row r="287" spans="17:20" x14ac:dyDescent="0.25">
      <c r="Q287"/>
      <c r="R287"/>
      <c r="S287"/>
      <c r="T287" s="179"/>
    </row>
    <row r="288" spans="17:20" x14ac:dyDescent="0.25">
      <c r="Q288"/>
      <c r="R288"/>
      <c r="S288"/>
      <c r="T288" s="179"/>
    </row>
    <row r="289" spans="17:20" x14ac:dyDescent="0.25">
      <c r="Q289"/>
      <c r="R289"/>
      <c r="S289"/>
      <c r="T289" s="179"/>
    </row>
    <row r="290" spans="17:20" x14ac:dyDescent="0.25">
      <c r="Q290"/>
      <c r="R290"/>
      <c r="S290"/>
      <c r="T290" s="179"/>
    </row>
    <row r="291" spans="17:20" x14ac:dyDescent="0.25">
      <c r="Q291"/>
      <c r="R291"/>
      <c r="S291"/>
      <c r="T291" s="179"/>
    </row>
    <row r="292" spans="17:20" x14ac:dyDescent="0.25">
      <c r="Q292"/>
      <c r="R292"/>
      <c r="S292"/>
      <c r="T292" s="179"/>
    </row>
    <row r="293" spans="17:20" x14ac:dyDescent="0.25">
      <c r="Q293"/>
      <c r="R293"/>
      <c r="S293"/>
      <c r="T293" s="179"/>
    </row>
    <row r="294" spans="17:20" x14ac:dyDescent="0.25">
      <c r="Q294"/>
      <c r="R294"/>
      <c r="S294"/>
      <c r="T294" s="179"/>
    </row>
    <row r="295" spans="17:20" x14ac:dyDescent="0.25">
      <c r="Q295"/>
      <c r="R295"/>
      <c r="S295"/>
      <c r="T295" s="179"/>
    </row>
    <row r="296" spans="17:20" x14ac:dyDescent="0.25">
      <c r="Q296"/>
      <c r="R296"/>
      <c r="S296"/>
      <c r="T296" s="179"/>
    </row>
    <row r="297" spans="17:20" x14ac:dyDescent="0.25">
      <c r="Q297"/>
      <c r="R297"/>
      <c r="S297"/>
      <c r="T297" s="179"/>
    </row>
    <row r="298" spans="17:20" x14ac:dyDescent="0.25">
      <c r="Q298"/>
      <c r="R298"/>
      <c r="S298"/>
      <c r="T298" s="179"/>
    </row>
    <row r="299" spans="17:20" x14ac:dyDescent="0.25">
      <c r="Q299"/>
      <c r="R299"/>
      <c r="S299"/>
      <c r="T299" s="179"/>
    </row>
    <row r="300" spans="17:20" x14ac:dyDescent="0.25">
      <c r="Q300"/>
      <c r="R300"/>
      <c r="S300"/>
      <c r="T300" s="179"/>
    </row>
  </sheetData>
  <mergeCells count="94">
    <mergeCell ref="G24:J24"/>
    <mergeCell ref="G25:J25"/>
    <mergeCell ref="E1:J1"/>
    <mergeCell ref="H7:J7"/>
    <mergeCell ref="H8:J8"/>
    <mergeCell ref="F4:G4"/>
    <mergeCell ref="F5:G5"/>
    <mergeCell ref="G23:J23"/>
    <mergeCell ref="G13:J13"/>
    <mergeCell ref="G14:J14"/>
    <mergeCell ref="G15:J15"/>
    <mergeCell ref="G16:J16"/>
    <mergeCell ref="G17:J17"/>
    <mergeCell ref="L11:N13"/>
    <mergeCell ref="L14:N14"/>
    <mergeCell ref="L17:N17"/>
    <mergeCell ref="L19:N19"/>
    <mergeCell ref="C8:D8"/>
    <mergeCell ref="F8:G8"/>
    <mergeCell ref="K19:K20"/>
    <mergeCell ref="K15:K16"/>
    <mergeCell ref="K13:K14"/>
    <mergeCell ref="K17:K18"/>
    <mergeCell ref="E19:F19"/>
    <mergeCell ref="E20:F20"/>
    <mergeCell ref="E18:F18"/>
    <mergeCell ref="E16:F16"/>
    <mergeCell ref="E14:F14"/>
    <mergeCell ref="E11:F11"/>
    <mergeCell ref="L21:N21"/>
    <mergeCell ref="E15:F15"/>
    <mergeCell ref="E17:F17"/>
    <mergeCell ref="G18:J18"/>
    <mergeCell ref="G20:J20"/>
    <mergeCell ref="G19:J19"/>
    <mergeCell ref="G21:J22"/>
    <mergeCell ref="L22:N22"/>
    <mergeCell ref="K21:K22"/>
    <mergeCell ref="A23:D23"/>
    <mergeCell ref="A24:D24"/>
    <mergeCell ref="A25:D25"/>
    <mergeCell ref="A12:D12"/>
    <mergeCell ref="A14:D14"/>
    <mergeCell ref="A15:D15"/>
    <mergeCell ref="A16:D16"/>
    <mergeCell ref="A22:D22"/>
    <mergeCell ref="A18:D18"/>
    <mergeCell ref="A19:D19"/>
    <mergeCell ref="A11:D11"/>
    <mergeCell ref="A13:D13"/>
    <mergeCell ref="A17:D17"/>
    <mergeCell ref="A20:D20"/>
    <mergeCell ref="A21:D21"/>
    <mergeCell ref="A10:D10"/>
    <mergeCell ref="A1:D1"/>
    <mergeCell ref="A9:D9"/>
    <mergeCell ref="A3:B3"/>
    <mergeCell ref="A4:B4"/>
    <mergeCell ref="A5:B5"/>
    <mergeCell ref="A6:B6"/>
    <mergeCell ref="A7:B7"/>
    <mergeCell ref="C2:E2"/>
    <mergeCell ref="C3:E3"/>
    <mergeCell ref="C4:E4"/>
    <mergeCell ref="C5:E5"/>
    <mergeCell ref="C7:E7"/>
    <mergeCell ref="C6:E6"/>
    <mergeCell ref="A8:B8"/>
    <mergeCell ref="F2:G2"/>
    <mergeCell ref="F3:G3"/>
    <mergeCell ref="H2:J2"/>
    <mergeCell ref="H3:J3"/>
    <mergeCell ref="E21:F21"/>
    <mergeCell ref="F6:G6"/>
    <mergeCell ref="F7:G7"/>
    <mergeCell ref="E13:F13"/>
    <mergeCell ref="E12:F12"/>
    <mergeCell ref="F9:J9"/>
    <mergeCell ref="F10:J10"/>
    <mergeCell ref="G12:J12"/>
    <mergeCell ref="G11:J11"/>
    <mergeCell ref="H4:J4"/>
    <mergeCell ref="H5:J5"/>
    <mergeCell ref="H6:J6"/>
    <mergeCell ref="M10:N10"/>
    <mergeCell ref="N4:O4"/>
    <mergeCell ref="N3:O3"/>
    <mergeCell ref="N1:O2"/>
    <mergeCell ref="N5:O5"/>
    <mergeCell ref="N6:O6"/>
    <mergeCell ref="N7:O7"/>
    <mergeCell ref="N8:O8"/>
    <mergeCell ref="M9:N9"/>
    <mergeCell ref="M1:M2"/>
  </mergeCells>
  <pageMargins left="0.7" right="0.7" top="0.75" bottom="0.75" header="0.3" footer="0.3"/>
  <pageSetup paperSize="9" orientation="portrait" r:id="rId8"/>
  <drawing r:id="rId9"/>
  <legacyDrawing r:id="rId10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11" name="Check Box 1">
              <controlPr defaultSize="0" autoFill="0" autoLine="0" autoPict="0">
                <anchor moveWithCells="1">
                  <from>
                    <xdr:col>13</xdr:col>
                    <xdr:colOff>876300</xdr:colOff>
                    <xdr:row>0</xdr:row>
                    <xdr:rowOff>47625</xdr:rowOff>
                  </from>
                  <to>
                    <xdr:col>14</xdr:col>
                    <xdr:colOff>371475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12" name="Check Box 2">
              <controlPr defaultSize="0" autoFill="0" autoLine="0" autoPict="0">
                <anchor moveWithCells="1">
                  <from>
                    <xdr:col>14</xdr:col>
                    <xdr:colOff>276225</xdr:colOff>
                    <xdr:row>7</xdr:row>
                    <xdr:rowOff>180975</xdr:rowOff>
                  </from>
                  <to>
                    <xdr:col>15</xdr:col>
                    <xdr:colOff>19050</xdr:colOff>
                    <xdr:row>9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63"/>
  <sheetViews>
    <sheetView topLeftCell="J1" workbookViewId="0">
      <selection activeCell="L26" sqref="L26:V26"/>
    </sheetView>
  </sheetViews>
  <sheetFormatPr defaultRowHeight="15" x14ac:dyDescent="0.25"/>
  <cols>
    <col min="1" max="2" width="23.7109375" style="51" customWidth="1"/>
    <col min="3" max="3" width="19.5703125" style="51" customWidth="1"/>
    <col min="4" max="4" width="13.42578125" style="51" customWidth="1"/>
    <col min="5" max="5" width="26.7109375" style="51" customWidth="1"/>
    <col min="6" max="6" width="11.140625" style="51" customWidth="1"/>
    <col min="7" max="7" width="11.7109375" style="51" customWidth="1"/>
    <col min="8" max="8" width="45" style="51" customWidth="1"/>
    <col min="9" max="9" width="18.28515625" style="51" customWidth="1"/>
    <col min="10" max="11" width="14.85546875" style="51" customWidth="1"/>
    <col min="12" max="12" width="16.7109375" customWidth="1"/>
    <col min="13" max="13" width="17.42578125" customWidth="1"/>
    <col min="14" max="14" width="13.85546875" customWidth="1"/>
    <col min="15" max="15" width="12.140625" customWidth="1"/>
    <col min="16" max="16" width="20.5703125" customWidth="1"/>
    <col min="17" max="20" width="11.28515625" customWidth="1"/>
    <col min="21" max="21" width="8.28515625" customWidth="1"/>
    <col min="22" max="26" width="10.140625" customWidth="1"/>
    <col min="27" max="27" width="7.5703125" customWidth="1"/>
    <col min="28" max="28" width="9.42578125" customWidth="1"/>
    <col min="29" max="29" width="12.28515625" customWidth="1"/>
    <col min="30" max="31" width="9.28515625" customWidth="1"/>
    <col min="32" max="32" width="10" customWidth="1"/>
    <col min="33" max="33" width="9.28515625" customWidth="1"/>
  </cols>
  <sheetData>
    <row r="1" spans="1:34" x14ac:dyDescent="0.25">
      <c r="A1" s="224" t="s">
        <v>237</v>
      </c>
      <c r="B1" s="225"/>
      <c r="C1" s="225"/>
      <c r="D1" s="225"/>
      <c r="E1" s="225"/>
      <c r="F1" s="225"/>
      <c r="G1" s="225"/>
      <c r="H1" s="225"/>
      <c r="I1" s="225"/>
      <c r="J1" s="225"/>
      <c r="K1" s="226"/>
      <c r="L1" t="s">
        <v>213</v>
      </c>
      <c r="Q1" s="227" t="s">
        <v>250</v>
      </c>
      <c r="R1" s="227"/>
      <c r="S1" s="227"/>
      <c r="T1" s="227"/>
      <c r="U1" s="227"/>
      <c r="V1" s="227"/>
      <c r="W1" s="227"/>
      <c r="X1" s="227"/>
      <c r="Y1" s="227"/>
    </row>
    <row r="2" spans="1:34" x14ac:dyDescent="0.25">
      <c r="A2" s="157" t="s">
        <v>238</v>
      </c>
      <c r="B2" s="171" t="s">
        <v>408</v>
      </c>
      <c r="C2" s="158" t="s">
        <v>239</v>
      </c>
      <c r="D2" s="158" t="s">
        <v>241</v>
      </c>
      <c r="E2" s="158" t="s">
        <v>240</v>
      </c>
      <c r="F2" s="158" t="s">
        <v>242</v>
      </c>
      <c r="G2" s="158" t="s">
        <v>243</v>
      </c>
      <c r="H2" s="158" t="s">
        <v>244</v>
      </c>
      <c r="I2" s="158" t="s">
        <v>245</v>
      </c>
      <c r="J2" s="158" t="s">
        <v>246</v>
      </c>
      <c r="K2" s="159" t="s">
        <v>226</v>
      </c>
      <c r="L2" s="67" t="s">
        <v>215</v>
      </c>
      <c r="M2" s="67"/>
      <c r="N2" s="67"/>
      <c r="O2" s="67"/>
      <c r="Q2" s="227" t="s">
        <v>252</v>
      </c>
      <c r="R2" s="227"/>
      <c r="S2" s="59" t="s">
        <v>251</v>
      </c>
      <c r="T2" s="227" t="s">
        <v>263</v>
      </c>
      <c r="U2" s="227"/>
      <c r="V2" s="227"/>
      <c r="W2" s="227"/>
      <c r="X2" s="227"/>
      <c r="Y2" s="227"/>
    </row>
    <row r="3" spans="1:34" x14ac:dyDescent="0.25">
      <c r="A3" s="155"/>
      <c r="B3" s="52"/>
      <c r="C3" s="52"/>
      <c r="D3" s="63"/>
      <c r="K3" s="57"/>
      <c r="L3" s="5" t="s">
        <v>214</v>
      </c>
      <c r="M3" s="5" t="s">
        <v>8</v>
      </c>
      <c r="N3" s="5" t="s">
        <v>91</v>
      </c>
      <c r="O3" s="5" t="s">
        <v>92</v>
      </c>
      <c r="Q3" s="229"/>
      <c r="R3" s="229"/>
      <c r="S3" s="31"/>
      <c r="T3" s="228"/>
      <c r="U3" s="228"/>
      <c r="V3" s="228"/>
      <c r="W3" s="228"/>
      <c r="X3" s="228"/>
      <c r="Y3" s="228"/>
    </row>
    <row r="4" spans="1:34" x14ac:dyDescent="0.25">
      <c r="A4" s="156"/>
      <c r="D4" s="63"/>
      <c r="K4" s="57"/>
      <c r="L4" s="22" t="s">
        <v>76</v>
      </c>
      <c r="M4" s="3">
        <v>0</v>
      </c>
      <c r="N4" s="3" t="str">
        <f>IF($M4&gt;2,IF($M4&gt;4,IF($M4&gt;6,IF($M4&gt;8,IF($M4&gt;10,IF($M4&gt;12,IF($M4&gt;14,IF($M4&gt;16,IF($M4&gt;18,IF($M4&lt;=20,meta!O$11,meta!O$12),meta!O$10),meta!O$9),meta!O$8),meta!O$7),meta!O$6),meta!O$5),meta!O$4),meta!O$3),meta!O$2)</f>
        <v>d6</v>
      </c>
      <c r="O4" s="3" t="str">
        <f>IF(M4&gt;2,IF(M4&gt;4,IF(M4&gt;6,IF(M4&gt;8,IF(M4&gt;10,IF(M4&gt;12,IF(M4&gt;14,IF(M4&gt;16,IF(M4&gt;18,IF(M4&lt;=20,meta!P$11,meta!P$12),meta!P$10),meta!P$9),meta!P$8),meta!P$7),meta!P$6),meta!P$5),meta!P$4),meta!P$3),meta!P$2)</f>
        <v>2d6</v>
      </c>
      <c r="Q4" s="229"/>
      <c r="R4" s="229"/>
      <c r="S4" s="31"/>
      <c r="T4" s="228"/>
      <c r="U4" s="228"/>
      <c r="V4" s="228"/>
      <c r="W4" s="228"/>
      <c r="X4" s="228"/>
      <c r="Y4" s="228"/>
      <c r="AE4" s="17"/>
      <c r="AF4" s="17"/>
      <c r="AG4" s="17"/>
    </row>
    <row r="5" spans="1:34" x14ac:dyDescent="0.25">
      <c r="A5" s="156"/>
      <c r="K5" s="57"/>
      <c r="L5" s="22" t="s">
        <v>77</v>
      </c>
      <c r="M5" s="3">
        <v>0</v>
      </c>
      <c r="N5" s="3" t="str">
        <f>IF($M5&gt;2,IF($M5&gt;4,IF($M5&gt;6,IF($M5&gt;8,IF($M5&gt;10,IF($M5&gt;12,IF($M5&gt;14,IF($M5&gt;16,IF($M5&gt;18,IF($M5&lt;=20,meta!O$11,meta!O$12),meta!O$10),meta!O$9),meta!O$8),meta!O$7),meta!O$6),meta!O$5),meta!O$4),meta!O$3),meta!O$2)</f>
        <v>d6</v>
      </c>
      <c r="O5" s="3" t="str">
        <f>IF(M5&gt;2,IF(M5&gt;4,IF(M5&gt;6,IF(M5&gt;8,IF(M5&gt;10,IF(M5&gt;12,IF(M5&gt;14,IF(M5&gt;16,IF(M5&gt;18,IF(M5&lt;=20,meta!P$11,meta!P$12),meta!P$10),meta!P$9),meta!P$8),meta!P$7),meta!P$6),meta!P$5),meta!P$4),meta!P$3),meta!P$2)</f>
        <v>2d6</v>
      </c>
      <c r="Q5" s="229"/>
      <c r="R5" s="229"/>
      <c r="S5" s="31"/>
      <c r="T5" s="228"/>
      <c r="U5" s="228"/>
      <c r="V5" s="228"/>
      <c r="W5" s="228"/>
      <c r="X5" s="228"/>
      <c r="Y5" s="228"/>
      <c r="AE5" s="17"/>
      <c r="AF5" s="17"/>
      <c r="AG5" s="17"/>
    </row>
    <row r="6" spans="1:34" x14ac:dyDescent="0.25">
      <c r="A6" s="156"/>
      <c r="K6" s="57"/>
      <c r="L6" s="22" t="s">
        <v>78</v>
      </c>
      <c r="M6" s="3">
        <v>0</v>
      </c>
      <c r="N6" s="3" t="str">
        <f>IF($M6&gt;2,IF($M6&gt;4,IF($M6&gt;6,IF($M6&gt;8,IF($M6&gt;10,IF($M6&gt;12,IF($M6&gt;14,IF($M6&gt;16,IF($M6&gt;18,IF($M6&lt;=20,meta!O$11,meta!O$12),meta!O$10),meta!O$9),meta!O$8),meta!O$7),meta!O$6),meta!O$5),meta!O$4),meta!O$3),meta!O$2)</f>
        <v>d6</v>
      </c>
      <c r="O6" s="3" t="str">
        <f>IF(M6&gt;2,IF(M6&gt;4,IF(M6&gt;6,IF(M6&gt;8,IF(M6&gt;10,IF(M6&gt;12,IF(M6&gt;14,IF(M6&gt;16,IF(M6&gt;18,IF(M6&lt;=20,meta!P$11,meta!P$12),meta!P$10),meta!P$9),meta!P$8),meta!P$7),meta!P$6),meta!P$5),meta!P$4),meta!P$3),meta!P$2)</f>
        <v>2d6</v>
      </c>
      <c r="Q6" s="228"/>
      <c r="R6" s="228"/>
      <c r="S6" s="31"/>
      <c r="T6" s="228"/>
      <c r="U6" s="228"/>
      <c r="V6" s="228"/>
      <c r="W6" s="228"/>
      <c r="X6" s="228"/>
      <c r="Y6" s="228"/>
      <c r="AE6" s="17"/>
      <c r="AF6" s="17"/>
      <c r="AG6" s="17"/>
    </row>
    <row r="7" spans="1:34" x14ac:dyDescent="0.25">
      <c r="A7" s="156"/>
      <c r="K7" s="57"/>
      <c r="L7" s="22" t="s">
        <v>79</v>
      </c>
      <c r="M7" s="3">
        <v>0</v>
      </c>
      <c r="N7" s="3" t="str">
        <f>IF($M7&gt;2,IF($M7&gt;4,IF($M7&gt;6,IF($M7&gt;8,IF($M7&gt;10,IF($M7&gt;12,IF($M7&gt;14,IF($M7&gt;16,IF($M7&gt;18,IF($M7&lt;=20,meta!O$11,meta!O$12),meta!O$10),meta!O$9),meta!O$8),meta!O$7),meta!O$6),meta!O$5),meta!O$4),meta!O$3),meta!O$2)</f>
        <v>d6</v>
      </c>
      <c r="O7" s="3" t="str">
        <f>IF(M7&gt;2,IF(M7&gt;4,IF(M7&gt;6,IF(M7&gt;8,IF(M7&gt;10,IF(M7&gt;12,IF(M7&gt;14,IF(M7&gt;16,IF(M7&gt;18,IF(M7&lt;=20,meta!P$11,meta!P$12),meta!P$10),meta!P$9),meta!P$8),meta!P$7),meta!P$6),meta!P$5),meta!P$4),meta!P$3),meta!P$2)</f>
        <v>2d6</v>
      </c>
      <c r="Q7" s="228"/>
      <c r="R7" s="228"/>
      <c r="S7" s="31"/>
      <c r="T7" s="228"/>
      <c r="U7" s="228"/>
      <c r="V7" s="228"/>
      <c r="W7" s="228"/>
      <c r="X7" s="228"/>
      <c r="Y7" s="228"/>
      <c r="AE7" s="17"/>
      <c r="AF7" s="17"/>
      <c r="AG7" s="17"/>
    </row>
    <row r="8" spans="1:34" x14ac:dyDescent="0.25">
      <c r="A8" s="156"/>
      <c r="K8" s="57"/>
      <c r="L8" s="3" t="s">
        <v>80</v>
      </c>
      <c r="M8" s="3">
        <v>0</v>
      </c>
      <c r="N8" s="3" t="str">
        <f>IF($M8&gt;2,IF($M8&gt;4,IF($M8&gt;6,IF($M8&gt;8,IF($M8&gt;10,IF($M8&gt;12,IF($M8&gt;14,IF($M8&gt;16,IF($M8&gt;18,IF($M8&lt;=20,meta!O$11,meta!O$12),meta!O$10),meta!O$9),meta!O$8),meta!O$7),meta!O$6),meta!O$5),meta!O$4),meta!O$3),meta!O$2)</f>
        <v>d6</v>
      </c>
      <c r="O8" s="3" t="str">
        <f>IF(M8&gt;2,IF(M8&gt;4,IF(M8&gt;6,IF(M8&gt;8,IF(M8&gt;10,IF(M8&gt;12,IF(M8&gt;14,IF(M8&gt;16,IF(M8&gt;18,IF(M8&lt;=20,meta!P$11,meta!P$12),meta!P$10),meta!P$9),meta!P$8),meta!P$7),meta!P$6),meta!P$5),meta!P$4),meta!P$3),meta!P$2)</f>
        <v>2d6</v>
      </c>
      <c r="Q8" s="228"/>
      <c r="R8" s="228"/>
      <c r="S8" s="31"/>
      <c r="T8" s="228"/>
      <c r="U8" s="228"/>
      <c r="V8" s="228"/>
      <c r="W8" s="228"/>
      <c r="X8" s="228"/>
      <c r="Y8" s="228"/>
      <c r="AE8" s="17"/>
      <c r="AF8" s="17"/>
      <c r="AG8" s="17"/>
    </row>
    <row r="9" spans="1:34" x14ac:dyDescent="0.25">
      <c r="A9" s="156"/>
      <c r="K9" s="57"/>
      <c r="L9" s="3" t="s">
        <v>81</v>
      </c>
      <c r="M9" s="3">
        <v>0</v>
      </c>
      <c r="N9" s="3" t="str">
        <f>IF($M9&gt;2,IF($M9&gt;4,IF($M9&gt;6,IF($M9&gt;8,IF($M9&gt;10,IF($M9&gt;12,IF($M9&gt;14,IF($M9&gt;16,IF($M9&gt;18,IF($M9&lt;=20,meta!O$11,meta!O$12),meta!O$10),meta!O$9),meta!O$8),meta!O$7),meta!O$6),meta!O$5),meta!O$4),meta!O$3),meta!O$2)</f>
        <v>d6</v>
      </c>
      <c r="O9" s="3" t="str">
        <f>IF(M9&gt;2,IF(M9&gt;4,IF(M9&gt;6,IF(M9&gt;8,IF(M9&gt;10,IF(M9&gt;12,IF(M9&gt;14,IF(M9&gt;16,IF(M9&gt;18,IF(M9&lt;=20,meta!P$11,meta!P$12),meta!P$10),meta!P$9),meta!P$8),meta!P$7),meta!P$6),meta!P$5),meta!P$4),meta!P$3),meta!P$2)</f>
        <v>2d6</v>
      </c>
      <c r="Q9" s="228"/>
      <c r="R9" s="228"/>
      <c r="S9" s="31"/>
      <c r="T9" s="228"/>
      <c r="U9" s="228"/>
      <c r="V9" s="228"/>
      <c r="W9" s="228"/>
      <c r="X9" s="228"/>
      <c r="Y9" s="228"/>
      <c r="AE9" s="17"/>
      <c r="AF9" s="17"/>
      <c r="AG9" s="17"/>
    </row>
    <row r="10" spans="1:34" x14ac:dyDescent="0.25">
      <c r="A10" s="156"/>
      <c r="K10" s="57"/>
      <c r="L10" s="3" t="s">
        <v>82</v>
      </c>
      <c r="M10" s="3">
        <v>0</v>
      </c>
      <c r="N10" s="3" t="str">
        <f>IF($M10&gt;2,IF($M10&gt;4,IF($M10&gt;6,IF($M10&gt;8,IF($M10&gt;10,IF($M10&gt;12,IF($M10&gt;14,IF($M10&gt;16,IF($M10&gt;18,IF($M10&lt;=20,meta!O$11,meta!O$12),meta!O$10),meta!O$9),meta!O$8),meta!O$7),meta!O$6),meta!O$5),meta!O$4),meta!O$3),meta!O$2)</f>
        <v>d6</v>
      </c>
      <c r="O10" s="3" t="str">
        <f>IF(M10&gt;2,IF(M10&gt;4,IF(M10&gt;6,IF(M10&gt;8,IF(M10&gt;10,IF(M10&gt;12,IF(M10&gt;14,IF(M10&gt;16,IF(M10&gt;18,IF(M10&lt;=20,meta!P$11,meta!P$12),meta!P$10),meta!P$9),meta!P$8),meta!P$7),meta!P$6),meta!P$5),meta!P$4),meta!P$3),meta!P$2)</f>
        <v>2d6</v>
      </c>
      <c r="Q10" s="228"/>
      <c r="R10" s="228"/>
      <c r="S10" s="31"/>
      <c r="T10" s="228"/>
      <c r="U10" s="228"/>
      <c r="V10" s="228"/>
      <c r="W10" s="228"/>
      <c r="X10" s="228"/>
      <c r="Y10" s="228"/>
      <c r="AE10" s="17"/>
      <c r="AF10" s="17"/>
      <c r="AG10" s="17"/>
    </row>
    <row r="11" spans="1:34" x14ac:dyDescent="0.25">
      <c r="A11" s="156"/>
      <c r="K11" s="57"/>
      <c r="L11" s="3" t="s">
        <v>75</v>
      </c>
      <c r="M11" s="3">
        <v>0</v>
      </c>
      <c r="N11" s="3" t="str">
        <f>IF($M11&gt;2,IF($M11&gt;4,IF($M11&gt;6,IF($M11&gt;8,IF($M11&gt;10,IF($M11&gt;12,IF($M11&gt;14,IF($M11&gt;16,IF($M11&gt;18,IF($M11&lt;=20,meta!O$11,meta!O$12),meta!O$10),meta!O$9),meta!O$8),meta!O$7),meta!O$6),meta!O$5),meta!O$4),meta!O$3),meta!O$2)</f>
        <v>d6</v>
      </c>
      <c r="O11" s="3" t="str">
        <f>IF(M11&gt;2,IF(M11&gt;4,IF(M11&gt;6,IF(M11&gt;8,IF(M11&gt;10,IF(M11&gt;12,IF(M11&gt;14,IF(M11&gt;16,IF(M11&gt;18,IF(M11&lt;=20,meta!P$11,meta!P$12),meta!P$10),meta!P$9),meta!P$8),meta!P$7),meta!P$6),meta!P$5),meta!P$4),meta!P$3),meta!P$2)</f>
        <v>2d6</v>
      </c>
      <c r="Q11" s="228"/>
      <c r="R11" s="228"/>
      <c r="S11" s="31"/>
      <c r="T11" s="228"/>
      <c r="U11" s="228"/>
      <c r="V11" s="228"/>
      <c r="W11" s="228"/>
      <c r="X11" s="228"/>
      <c r="Y11" s="228"/>
      <c r="AE11" s="17"/>
      <c r="AF11" s="17"/>
      <c r="AG11" s="17"/>
    </row>
    <row r="12" spans="1:34" x14ac:dyDescent="0.25">
      <c r="A12" s="156"/>
      <c r="K12" s="57"/>
      <c r="L12" s="20" t="s">
        <v>88</v>
      </c>
      <c r="M12" s="10">
        <v>0</v>
      </c>
      <c r="N12" s="10" t="str">
        <f>IF($M12&gt;2,IF($M12&gt;4,IF($M12&gt;6,IF($M12&gt;8,IF($M12&gt;10,IF($M12&gt;12,IF($M12&gt;14,IF($M12&gt;16,IF($M12&gt;18,IF($M12&lt;=20,meta!O$11,meta!O$12),meta!O$10),meta!O$9),meta!O$8),meta!O$7),meta!O$6),meta!O$5),meta!O$4),meta!O$3),meta!O$2)</f>
        <v>d6</v>
      </c>
      <c r="O12" s="10" t="str">
        <f>IF(M12&gt;2,IF(M12&gt;4,IF(M12&gt;6,IF(M12&gt;8,IF(M12&gt;10,IF(M12&gt;12,IF(M12&gt;14,IF(M12&gt;16,IF(M12&gt;18,IF(M12&lt;=20,meta!P$11,meta!P$12),meta!P$10),meta!P$9),meta!P$8),meta!P$7),meta!P$6),meta!P$5),meta!P$4),meta!P$3),meta!P$2)</f>
        <v>2d6</v>
      </c>
      <c r="Q12" s="228"/>
      <c r="R12" s="228"/>
      <c r="S12" s="31"/>
      <c r="T12" s="228"/>
      <c r="U12" s="228"/>
      <c r="V12" s="228"/>
      <c r="W12" s="228"/>
      <c r="X12" s="228"/>
      <c r="Y12" s="228"/>
      <c r="AE12" s="17"/>
      <c r="AF12" s="17"/>
      <c r="AG12" s="17"/>
    </row>
    <row r="13" spans="1:34" x14ac:dyDescent="0.25">
      <c r="A13" s="156"/>
      <c r="K13" s="57"/>
      <c r="L13" s="20" t="s">
        <v>84</v>
      </c>
      <c r="M13" s="10">
        <v>0</v>
      </c>
      <c r="N13" s="10" t="str">
        <f>IF($M13&gt;1,IF($M13&gt;2,IF($M13&gt;3,IF($M13&gt;4,IF($M13&gt;5,IF($M13&gt;6,IF($M13&gt;7,IF($M13&gt;8,IF($M13&gt;9,IF($M13&lt;=10,meta!O$11,meta!O$12),meta!O$10),meta!O$9),meta!O$8),meta!O$7),meta!O$6),meta!O$5),meta!O$4),meta!O$3),meta!O$2)</f>
        <v>d6</v>
      </c>
      <c r="O13" s="10" t="str">
        <f>IF(M13&gt;1,IF(M13&gt;2,IF(M13&gt;3,IF(M13&gt;4,IF(M13&gt;5,IF(M13&gt;6,IF(M13&gt;7,IF(M13&gt;8,IF(M13&gt;9,IF(M13&lt;=10,meta!P$11,meta!P$12),meta!P$10),meta!P$9),meta!P$8),meta!P$7),meta!P$6),meta!P$5),meta!P$4),meta!P$3),meta!P$2)</f>
        <v>2d6</v>
      </c>
      <c r="Q13" s="228"/>
      <c r="R13" s="228"/>
      <c r="S13" s="31"/>
      <c r="T13" s="228"/>
      <c r="U13" s="228"/>
      <c r="V13" s="228"/>
      <c r="W13" s="228"/>
      <c r="X13" s="228"/>
      <c r="Y13" s="228"/>
      <c r="AE13" s="17"/>
      <c r="AF13" s="17"/>
      <c r="AG13" s="17"/>
    </row>
    <row r="14" spans="1:34" x14ac:dyDescent="0.25">
      <c r="A14" s="156"/>
      <c r="K14" s="57"/>
      <c r="L14" s="20" t="s">
        <v>85</v>
      </c>
      <c r="M14" s="10">
        <v>0</v>
      </c>
      <c r="N14" s="10" t="str">
        <f>IF($M14&gt;1,IF($M14&gt;2,IF($M14&gt;3,IF($M14&gt;4,IF($M14&gt;5,IF($M14&gt;6,IF($M14&gt;7,IF($M14&gt;8,IF($M14&gt;9,IF($M14&lt;=10,meta!O$11,meta!O$12),meta!O$10),meta!O$9),meta!O$8),meta!O$7),meta!O$6),meta!O$5),meta!O$4),meta!O$3),meta!O$2)</f>
        <v>d6</v>
      </c>
      <c r="O14" s="10" t="str">
        <f>IF(M14&gt;1,IF(M14&gt;2,IF(M14&gt;3,IF(M14&gt;4,IF(M14&gt;5,IF(M14&gt;6,IF(M14&gt;7,IF(M14&gt;8,IF(M14&gt;9,IF(M14&lt;=10,meta!P$11,meta!P$12),meta!P$10),meta!P$9),meta!P$8),meta!P$7),meta!P$6),meta!P$5),meta!P$4),meta!P$3),meta!P$2)</f>
        <v>2d6</v>
      </c>
      <c r="Q14" s="228"/>
      <c r="R14" s="228"/>
      <c r="S14" s="31"/>
      <c r="T14" s="228"/>
      <c r="U14" s="228"/>
      <c r="V14" s="228"/>
      <c r="W14" s="228"/>
      <c r="X14" s="228"/>
      <c r="Y14" s="228"/>
      <c r="AE14" s="17"/>
      <c r="AF14" s="17"/>
      <c r="AG14" s="17"/>
    </row>
    <row r="15" spans="1:34" x14ac:dyDescent="0.25">
      <c r="A15" s="156"/>
      <c r="K15" s="57"/>
      <c r="L15" s="33" t="s">
        <v>86</v>
      </c>
      <c r="M15" s="10">
        <v>0</v>
      </c>
      <c r="N15" s="10" t="str">
        <f>IF($M15&gt;1,IF($M15&gt;2,IF($M15&gt;3,IF($M15&gt;4,IF($M15&gt;5,IF($M15&gt;6,IF($M15&gt;7,IF($M15&gt;8,IF($M15&gt;9,IF($M15&lt;=10,meta!O$11,meta!O$12),meta!O$10),meta!O$9),meta!O$8),meta!O$7),meta!O$6),meta!O$5),meta!O$4),meta!O$3),meta!O$2)</f>
        <v>d6</v>
      </c>
      <c r="O15" s="10" t="str">
        <f>IF(M15&gt;1,IF(M15&gt;2,IF(M15&gt;3,IF(M15&gt;4,IF(M15&gt;5,IF(M15&gt;6,IF(M15&gt;7,IF(M15&gt;8,IF(M15&gt;9,IF(M15&lt;=10,meta!P$11,meta!P$12),meta!P$10),meta!P$9),meta!P$8),meta!P$7),meta!P$6),meta!P$5),meta!P$4),meta!P$3),meta!P$2)</f>
        <v>2d6</v>
      </c>
      <c r="AF15" s="17"/>
      <c r="AG15" s="17"/>
      <c r="AH15" s="17"/>
    </row>
    <row r="16" spans="1:34" x14ac:dyDescent="0.25">
      <c r="A16" s="156"/>
      <c r="K16" s="57"/>
      <c r="L16" s="32" t="s">
        <v>154</v>
      </c>
      <c r="M16" s="29">
        <v>0</v>
      </c>
      <c r="N16" s="29" t="str">
        <f>IF($M16&gt;1,IF($M16&gt;2,IF($M16&gt;3,IF($M16&gt;4,IF($M16&gt;5,IF($M16&gt;6,IF($M16&gt;7,IF($M16&gt;8,IF($M16&gt;9,IF($M16&lt;=10,meta!O$11,meta!O$12),meta!O$10),meta!O$9),meta!O$8),meta!O$7),meta!O$6),meta!O$5),meta!O$4),meta!O$3),meta!O$2)</f>
        <v>d6</v>
      </c>
      <c r="O16" s="29" t="str">
        <f>IF(M16&gt;1,IF(M16&gt;2,IF(M16&gt;3,IF(M16&gt;4,IF(M16&gt;5,IF(M16&gt;6,IF(M16&gt;7,IF(M16&gt;8,IF(M16&gt;9,IF(M16&lt;=10,meta!P$11,meta!P$12),meta!P$10),meta!P$9),meta!P$8),meta!P$7),meta!P$6),meta!P$5),meta!P$4),meta!P$3),meta!P$2)</f>
        <v>2d6</v>
      </c>
      <c r="AF16" s="17"/>
      <c r="AG16" s="17"/>
      <c r="AH16" s="17"/>
    </row>
    <row r="17" spans="1:34" x14ac:dyDescent="0.25">
      <c r="A17" s="156"/>
      <c r="K17" s="57"/>
      <c r="L17" s="28" t="s">
        <v>87</v>
      </c>
      <c r="M17" s="29">
        <v>0</v>
      </c>
      <c r="N17" s="29" t="str">
        <f>IF($M17&gt;2,IF($M17&gt;4,IF($M17&gt;6,IF($M17&gt;8,IF($M17&gt;10,IF($M17&gt;12,IF($M17&gt;14,IF($M17&gt;16,IF($M17&gt;18,IF($M17&lt;=20,meta!O$11,meta!O$12),meta!O$10),meta!O$9),meta!O$8),meta!O$7),meta!O$6),meta!O$5),meta!O$4),meta!O$3),meta!O$2)</f>
        <v>d6</v>
      </c>
      <c r="O17" s="29" t="str">
        <f>IF(M17&gt;2,IF(M17&gt;4,IF(M17&gt;6,IF(M17&gt;8,IF(M17&gt;10,IF(M17&gt;12,IF(M17&gt;14,IF(M17&gt;16,IF(M17&gt;18,IF(M17&lt;=20,meta!P$11,meta!P$12),meta!P$10),meta!P$9),meta!P$8),meta!P$7),meta!P$6),meta!P$5),meta!P$4),meta!P$3),meta!P$2)</f>
        <v>2d6</v>
      </c>
      <c r="AF17" s="17"/>
      <c r="AG17" s="17"/>
      <c r="AH17" s="17"/>
    </row>
    <row r="18" spans="1:34" x14ac:dyDescent="0.25">
      <c r="A18" s="156"/>
      <c r="K18" s="57"/>
      <c r="L18" s="119" t="s">
        <v>225</v>
      </c>
      <c r="M18" s="69" t="s">
        <v>248</v>
      </c>
      <c r="N18" s="120" t="s">
        <v>353</v>
      </c>
      <c r="O18" s="67"/>
      <c r="P18" s="72" t="s">
        <v>287</v>
      </c>
      <c r="Q18" s="65"/>
      <c r="R18" s="68" t="s">
        <v>302</v>
      </c>
      <c r="S18" s="68" t="s">
        <v>303</v>
      </c>
      <c r="AF18" s="17"/>
      <c r="AG18" s="17"/>
      <c r="AH18" s="17"/>
    </row>
    <row r="19" spans="1:34" x14ac:dyDescent="0.25">
      <c r="A19" s="156"/>
      <c r="K19" s="57"/>
      <c r="L19" s="70" t="s">
        <v>83</v>
      </c>
      <c r="M19" s="45">
        <v>0</v>
      </c>
      <c r="N19" s="9" t="str">
        <f>IF($M19&gt;1,IF($M19&gt;2,IF($M19&gt;3,IF($M19&gt;4,IF($M19&gt;5,IF($M19&gt;6,IF($M19&gt;7,IF($M19&gt;8,IF($M19&gt;9,IF($M19&lt;=10,meta!O$49,meta!O$12),meta!O$48),meta!O$47),meta!O$46),meta!O$45),meta!O$44),meta!O$43),meta!O$42),meta!O$41),meta!O$40)</f>
        <v>d6</v>
      </c>
      <c r="O19" s="9">
        <f>IF($M19&gt;1,IF($M19&gt;2,IF($M19&gt;3,IF($M19&gt;4,IF($M19&gt;5,IF($M19&gt;6,IF($M19&gt;7,IF($M19&gt;8,IF($M19&gt;9,IF($M19&lt;=10,meta!P$49,"błąd"),meta!P$48),meta!P$47),meta!P46),meta!P$45),meta!P44),meta!P$43),meta!P42),meta!P$41),meta!P$40)</f>
        <v>1</v>
      </c>
      <c r="P19" s="73" t="s">
        <v>259</v>
      </c>
      <c r="Q19" s="74" t="s">
        <v>301</v>
      </c>
      <c r="R19" s="26">
        <f>SUM(M4:M17)</f>
        <v>0</v>
      </c>
      <c r="S19" s="26">
        <f>SUM(M19:M22)</f>
        <v>0</v>
      </c>
      <c r="AF19" s="17"/>
      <c r="AG19" s="17"/>
      <c r="AH19" s="17"/>
    </row>
    <row r="20" spans="1:34" x14ac:dyDescent="0.25">
      <c r="A20" s="156"/>
      <c r="K20" s="57"/>
      <c r="L20" s="115" t="s">
        <v>343</v>
      </c>
      <c r="M20" s="45">
        <v>0</v>
      </c>
      <c r="N20" s="45" t="b">
        <f>IF(M20&lt;&gt;1,IF(M20&lt;&gt;2,IF(M20&lt;&gt;3,IF(M20&lt;&gt;4,IF(M20=5,meta!O36),meta!O35),meta!O34),meta!O33),meta!O32)</f>
        <v>0</v>
      </c>
      <c r="O20" s="45" t="b">
        <f>IF(M20&lt;&gt;1,IF(M20&lt;&gt;2,IF(M20&lt;&gt;3,IF(M20&lt;&gt;4,IF(M20=5,meta!P36),meta!P35),meta!P34),meta!P33),meta!P32)</f>
        <v>0</v>
      </c>
      <c r="P20" s="73" t="s">
        <v>260</v>
      </c>
      <c r="Q20" s="74" t="s">
        <v>300</v>
      </c>
      <c r="R20" s="26">
        <v>240</v>
      </c>
      <c r="S20" s="26">
        <v>24</v>
      </c>
      <c r="AF20" s="17"/>
      <c r="AG20" s="17"/>
      <c r="AH20" s="17"/>
    </row>
    <row r="21" spans="1:34" x14ac:dyDescent="0.25">
      <c r="A21" s="156"/>
      <c r="K21" s="57"/>
      <c r="L21" s="71" t="s">
        <v>249</v>
      </c>
      <c r="M21" s="45">
        <v>0</v>
      </c>
      <c r="N21" s="45" t="b">
        <f>IF(M21&lt;&gt;1,IF(M21&lt;&gt;2,IF(M21&lt;&gt;3,IF(M21&lt;&gt;4,IF(M21=5,meta!O36),meta!O35),meta!O34),meta!O33),meta!O32)</f>
        <v>0</v>
      </c>
      <c r="O21" s="45" t="str">
        <f>IF(M21&lt;&gt;1,IF(M21&lt;&gt;2,IF(M21&lt;&gt;3,IF(M21&lt;&gt;4,IF(M21=5,"5d10","error"),"4d10"),"3d10"),"2d10"),"1d10")</f>
        <v>error</v>
      </c>
      <c r="P21" s="45" t="s">
        <v>261</v>
      </c>
      <c r="Q21" s="26"/>
      <c r="R21" s="26">
        <f>R19/R20</f>
        <v>0</v>
      </c>
      <c r="S21" s="26">
        <f>S19/S20</f>
        <v>0</v>
      </c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</row>
    <row r="22" spans="1:34" x14ac:dyDescent="0.25">
      <c r="A22" s="160"/>
      <c r="B22" s="161"/>
      <c r="C22" s="161"/>
      <c r="D22" s="161"/>
      <c r="E22" s="161"/>
      <c r="F22" s="161"/>
      <c r="G22" s="161"/>
      <c r="H22" s="161"/>
      <c r="I22" s="161"/>
      <c r="J22" s="161"/>
      <c r="K22" s="162"/>
      <c r="L22" s="71" t="s">
        <v>250</v>
      </c>
      <c r="M22" s="45">
        <v>0</v>
      </c>
      <c r="N22" s="45" t="str">
        <f>IF(M22&lt;&gt;1,IF(M22&lt;&gt;2,IF(M22&lt;&gt;3,IF(M22=4,"d12*d6","error"),"d10*d6"),"d12*d4"),"d10*d4")</f>
        <v>error</v>
      </c>
      <c r="O22" s="45" t="str">
        <f>IF(M22&lt;&gt;1,IF(M22&lt;&gt;2,IF(M22&lt;&gt;3,IF(M22=4,"master","error"),"expert"),"advanced"),"basic")</f>
        <v>error</v>
      </c>
      <c r="P22" s="45" t="s">
        <v>262</v>
      </c>
      <c r="AF22" s="17"/>
      <c r="AG22" s="17"/>
      <c r="AH22" s="17"/>
    </row>
    <row r="24" spans="1:34" x14ac:dyDescent="0.25">
      <c r="L24" s="223" t="s">
        <v>291</v>
      </c>
      <c r="M24" s="223"/>
      <c r="N24" s="223"/>
      <c r="O24" s="223"/>
      <c r="P24" s="223"/>
      <c r="Q24" s="223"/>
      <c r="R24" s="223"/>
      <c r="S24" s="223"/>
      <c r="T24" s="223"/>
      <c r="U24" s="223"/>
      <c r="V24" s="223"/>
    </row>
    <row r="25" spans="1:34" ht="15" customHeight="1" x14ac:dyDescent="0.25">
      <c r="L25" s="181"/>
      <c r="M25" s="181"/>
      <c r="N25" s="181"/>
      <c r="O25" s="181"/>
      <c r="P25" s="169">
        <v>0</v>
      </c>
      <c r="Q25" s="168">
        <v>0</v>
      </c>
      <c r="R25" s="168"/>
      <c r="S25" s="168"/>
      <c r="T25" s="168"/>
      <c r="U25" s="188"/>
      <c r="V25" s="181"/>
    </row>
    <row r="26" spans="1:34" x14ac:dyDescent="0.25">
      <c r="K26" s="57"/>
      <c r="L26" s="183" t="s">
        <v>299</v>
      </c>
      <c r="M26" s="184" t="s">
        <v>292</v>
      </c>
      <c r="N26" s="185" t="s">
        <v>340</v>
      </c>
      <c r="O26" s="186" t="s">
        <v>293</v>
      </c>
      <c r="P26" s="187" t="s">
        <v>431</v>
      </c>
      <c r="Q26" s="182" t="s">
        <v>294</v>
      </c>
      <c r="R26" s="182" t="s">
        <v>295</v>
      </c>
      <c r="S26" s="182" t="s">
        <v>296</v>
      </c>
      <c r="T26" s="182" t="s">
        <v>297</v>
      </c>
      <c r="U26" s="182" t="s">
        <v>298</v>
      </c>
      <c r="V26" s="189" t="s">
        <v>284</v>
      </c>
    </row>
    <row r="27" spans="1:34" x14ac:dyDescent="0.25">
      <c r="K27" s="57"/>
      <c r="L27" s="163" t="s">
        <v>76</v>
      </c>
      <c r="M27" s="153">
        <v>0.5</v>
      </c>
      <c r="N27" s="153"/>
      <c r="O27" s="153"/>
      <c r="P27" s="135">
        <f t="shared" ref="P27:P40" si="0">$P$25</f>
        <v>0</v>
      </c>
      <c r="Q27" s="153">
        <f>P27*Q$25</f>
        <v>0</v>
      </c>
      <c r="R27" s="153">
        <f>$P$25*R25</f>
        <v>0</v>
      </c>
      <c r="S27" s="153">
        <f>$P$25*S25</f>
        <v>0</v>
      </c>
      <c r="T27" s="153">
        <f>$P$25*T25</f>
        <v>0</v>
      </c>
      <c r="U27" s="153">
        <v>0</v>
      </c>
      <c r="V27" s="166">
        <f>SUM(M27:O27,Q27:U27)+1</f>
        <v>1.5</v>
      </c>
    </row>
    <row r="28" spans="1:34" x14ac:dyDescent="0.25">
      <c r="K28" s="57"/>
      <c r="L28" s="163" t="s">
        <v>77</v>
      </c>
      <c r="M28" s="153">
        <v>0.5</v>
      </c>
      <c r="N28" s="153"/>
      <c r="O28" s="153"/>
      <c r="P28" s="135">
        <f t="shared" si="0"/>
        <v>0</v>
      </c>
      <c r="Q28" s="153"/>
      <c r="R28" s="153"/>
      <c r="S28" s="153"/>
      <c r="T28" s="153"/>
      <c r="U28" s="153">
        <v>0</v>
      </c>
      <c r="V28" s="166">
        <f t="shared" ref="V28:V40" si="1">SUM(M28:O28,Q28:U28)+1</f>
        <v>1.5</v>
      </c>
    </row>
    <row r="29" spans="1:34" x14ac:dyDescent="0.25">
      <c r="K29" s="57"/>
      <c r="L29" s="163" t="s">
        <v>78</v>
      </c>
      <c r="M29" s="153">
        <v>0.5</v>
      </c>
      <c r="N29" s="153"/>
      <c r="O29" s="153"/>
      <c r="P29" s="135">
        <f t="shared" si="0"/>
        <v>0</v>
      </c>
      <c r="Q29" s="153"/>
      <c r="R29" s="153"/>
      <c r="S29" s="153"/>
      <c r="T29" s="153"/>
      <c r="U29" s="153">
        <v>0</v>
      </c>
      <c r="V29" s="166">
        <f t="shared" si="1"/>
        <v>1.5</v>
      </c>
    </row>
    <row r="30" spans="1:34" x14ac:dyDescent="0.25">
      <c r="K30" s="57"/>
      <c r="L30" s="163" t="s">
        <v>79</v>
      </c>
      <c r="M30" s="153">
        <v>0.5</v>
      </c>
      <c r="N30" s="152"/>
      <c r="O30" s="153"/>
      <c r="P30" s="135">
        <f t="shared" si="0"/>
        <v>0</v>
      </c>
      <c r="Q30" s="153"/>
      <c r="R30" s="153"/>
      <c r="S30" s="153"/>
      <c r="T30" s="153"/>
      <c r="U30" s="153">
        <v>0</v>
      </c>
      <c r="V30" s="166">
        <f t="shared" si="1"/>
        <v>1.5</v>
      </c>
    </row>
    <row r="31" spans="1:34" x14ac:dyDescent="0.25">
      <c r="K31" s="57"/>
      <c r="L31" s="164" t="s">
        <v>80</v>
      </c>
      <c r="M31" s="153">
        <v>0.5</v>
      </c>
      <c r="N31" s="153"/>
      <c r="O31" s="153"/>
      <c r="P31" s="135">
        <f t="shared" si="0"/>
        <v>0</v>
      </c>
      <c r="Q31" s="153"/>
      <c r="R31" s="153"/>
      <c r="S31" s="153"/>
      <c r="T31" s="153"/>
      <c r="U31" s="153">
        <v>0</v>
      </c>
      <c r="V31" s="166">
        <f t="shared" si="1"/>
        <v>1.5</v>
      </c>
    </row>
    <row r="32" spans="1:34" x14ac:dyDescent="0.25">
      <c r="K32" s="57"/>
      <c r="L32" s="164" t="s">
        <v>81</v>
      </c>
      <c r="M32" s="153">
        <v>0.5</v>
      </c>
      <c r="N32" s="153"/>
      <c r="O32" s="153"/>
      <c r="P32" s="135">
        <f t="shared" si="0"/>
        <v>0</v>
      </c>
      <c r="Q32" s="153"/>
      <c r="R32" s="153"/>
      <c r="S32" s="153"/>
      <c r="T32" s="153"/>
      <c r="U32" s="153">
        <v>0</v>
      </c>
      <c r="V32" s="166">
        <f t="shared" si="1"/>
        <v>1.5</v>
      </c>
    </row>
    <row r="33" spans="11:22" x14ac:dyDescent="0.25">
      <c r="K33" s="57"/>
      <c r="L33" s="164" t="s">
        <v>82</v>
      </c>
      <c r="M33" s="153">
        <v>0.5</v>
      </c>
      <c r="N33" s="153"/>
      <c r="O33" s="153"/>
      <c r="P33" s="135">
        <f t="shared" si="0"/>
        <v>0</v>
      </c>
      <c r="Q33" s="153"/>
      <c r="R33" s="153"/>
      <c r="S33" s="153"/>
      <c r="T33" s="153"/>
      <c r="U33" s="153">
        <v>0</v>
      </c>
      <c r="V33" s="166">
        <f t="shared" si="1"/>
        <v>1.5</v>
      </c>
    </row>
    <row r="34" spans="11:22" x14ac:dyDescent="0.25">
      <c r="K34" s="57"/>
      <c r="L34" s="164" t="s">
        <v>75</v>
      </c>
      <c r="M34" s="153">
        <v>0.5</v>
      </c>
      <c r="N34" s="153"/>
      <c r="O34" s="153"/>
      <c r="P34" s="135">
        <f t="shared" si="0"/>
        <v>0</v>
      </c>
      <c r="Q34" s="153"/>
      <c r="R34" s="153"/>
      <c r="S34" s="153"/>
      <c r="T34" s="153"/>
      <c r="U34" s="153">
        <v>0</v>
      </c>
      <c r="V34" s="166">
        <f t="shared" si="1"/>
        <v>1.5</v>
      </c>
    </row>
    <row r="35" spans="11:22" x14ac:dyDescent="0.25">
      <c r="K35" s="57"/>
      <c r="L35" s="163" t="s">
        <v>88</v>
      </c>
      <c r="M35" s="153">
        <v>0.5</v>
      </c>
      <c r="N35" s="153"/>
      <c r="O35" s="153"/>
      <c r="P35" s="135">
        <f t="shared" si="0"/>
        <v>0</v>
      </c>
      <c r="Q35" s="17"/>
      <c r="R35" s="153"/>
      <c r="S35" s="153"/>
      <c r="T35" s="153"/>
      <c r="U35" s="153">
        <v>0</v>
      </c>
      <c r="V35" s="166">
        <f>SUM(M35:O35,Q35:U35)+1</f>
        <v>1.5</v>
      </c>
    </row>
    <row r="36" spans="11:22" x14ac:dyDescent="0.25">
      <c r="K36" s="57"/>
      <c r="L36" s="163" t="s">
        <v>84</v>
      </c>
      <c r="M36" s="153">
        <v>0.5</v>
      </c>
      <c r="N36" s="153"/>
      <c r="O36" s="153"/>
      <c r="P36" s="135">
        <f t="shared" si="0"/>
        <v>0</v>
      </c>
      <c r="Q36" s="153"/>
      <c r="R36" s="153"/>
      <c r="S36" s="153"/>
      <c r="T36" s="153"/>
      <c r="U36" s="153">
        <v>0</v>
      </c>
      <c r="V36" s="166">
        <f t="shared" si="1"/>
        <v>1.5</v>
      </c>
    </row>
    <row r="37" spans="11:22" x14ac:dyDescent="0.25">
      <c r="K37" s="57"/>
      <c r="L37" s="163" t="s">
        <v>85</v>
      </c>
      <c r="M37" s="153">
        <v>0.5</v>
      </c>
      <c r="N37" s="153"/>
      <c r="O37" s="153"/>
      <c r="P37" s="135">
        <f t="shared" si="0"/>
        <v>0</v>
      </c>
      <c r="Q37" s="153"/>
      <c r="R37" s="153"/>
      <c r="S37" s="153"/>
      <c r="T37" s="153"/>
      <c r="U37" s="153">
        <v>0</v>
      </c>
      <c r="V37" s="166">
        <f t="shared" si="1"/>
        <v>1.5</v>
      </c>
    </row>
    <row r="38" spans="11:22" x14ac:dyDescent="0.25">
      <c r="K38" s="57"/>
      <c r="L38" s="165" t="s">
        <v>86</v>
      </c>
      <c r="M38" s="153">
        <v>0.5</v>
      </c>
      <c r="N38" s="153"/>
      <c r="O38" s="153"/>
      <c r="P38" s="135">
        <f t="shared" si="0"/>
        <v>0</v>
      </c>
      <c r="Q38" s="153"/>
      <c r="R38" s="153"/>
      <c r="S38" s="153"/>
      <c r="T38" s="153"/>
      <c r="U38" s="153">
        <v>0</v>
      </c>
      <c r="V38" s="166">
        <f t="shared" si="1"/>
        <v>1.5</v>
      </c>
    </row>
    <row r="39" spans="11:22" x14ac:dyDescent="0.25">
      <c r="K39" s="57"/>
      <c r="L39" s="165" t="s">
        <v>154</v>
      </c>
      <c r="M39" s="153">
        <v>0.5</v>
      </c>
      <c r="N39" s="153"/>
      <c r="O39" s="153"/>
      <c r="P39" s="135">
        <f t="shared" si="0"/>
        <v>0</v>
      </c>
      <c r="Q39" s="153"/>
      <c r="R39" s="153"/>
      <c r="S39" s="153"/>
      <c r="T39" s="153"/>
      <c r="U39" s="153">
        <v>0</v>
      </c>
      <c r="V39" s="166">
        <f t="shared" si="1"/>
        <v>1.5</v>
      </c>
    </row>
    <row r="40" spans="11:22" x14ac:dyDescent="0.25">
      <c r="K40" s="57"/>
      <c r="L40" s="167" t="s">
        <v>87</v>
      </c>
      <c r="M40" s="168">
        <v>0.5</v>
      </c>
      <c r="N40" s="168"/>
      <c r="O40" s="168"/>
      <c r="P40" s="169">
        <f t="shared" si="0"/>
        <v>0</v>
      </c>
      <c r="Q40" s="168"/>
      <c r="R40" s="168"/>
      <c r="S40" s="168"/>
      <c r="T40" s="168"/>
      <c r="U40" s="168">
        <v>0</v>
      </c>
      <c r="V40" s="170">
        <f t="shared" si="1"/>
        <v>1.5</v>
      </c>
    </row>
    <row r="62" spans="12:14" x14ac:dyDescent="0.25">
      <c r="L62" s="17"/>
      <c r="M62" s="17"/>
      <c r="N62" s="17"/>
    </row>
    <row r="63" spans="12:14" x14ac:dyDescent="0.25">
      <c r="L63" s="17"/>
      <c r="M63" s="17"/>
      <c r="N63" s="17"/>
    </row>
  </sheetData>
  <mergeCells count="29">
    <mergeCell ref="T14:Y14"/>
    <mergeCell ref="T6:Y6"/>
    <mergeCell ref="T7:Y7"/>
    <mergeCell ref="T8:Y8"/>
    <mergeCell ref="T9:Y9"/>
    <mergeCell ref="T10:Y10"/>
    <mergeCell ref="T11:Y11"/>
    <mergeCell ref="T12:Y12"/>
    <mergeCell ref="T4:Y4"/>
    <mergeCell ref="T5:Y5"/>
    <mergeCell ref="Q3:R3"/>
    <mergeCell ref="Q4:R4"/>
    <mergeCell ref="Q5:R5"/>
    <mergeCell ref="A1:K1"/>
    <mergeCell ref="L24:V24"/>
    <mergeCell ref="Q2:R2"/>
    <mergeCell ref="Q13:R13"/>
    <mergeCell ref="Q14:R14"/>
    <mergeCell ref="Q8:R8"/>
    <mergeCell ref="Q9:R9"/>
    <mergeCell ref="Q10:R10"/>
    <mergeCell ref="Q11:R11"/>
    <mergeCell ref="Q12:R12"/>
    <mergeCell ref="T2:Y2"/>
    <mergeCell ref="Q6:R6"/>
    <mergeCell ref="Q7:R7"/>
    <mergeCell ref="T13:Y13"/>
    <mergeCell ref="Q1:Y1"/>
    <mergeCell ref="T3:Y3"/>
  </mergeCells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4"/>
  <dimension ref="A1:AF43"/>
  <sheetViews>
    <sheetView topLeftCell="F1" zoomScale="115" zoomScaleNormal="115" workbookViewId="0">
      <selection activeCell="G3" sqref="G3"/>
    </sheetView>
  </sheetViews>
  <sheetFormatPr defaultColWidth="9" defaultRowHeight="15" x14ac:dyDescent="0.25"/>
  <cols>
    <col min="1" max="1" width="29" style="51" customWidth="1"/>
    <col min="2" max="2" width="20.28515625" style="57" customWidth="1"/>
    <col min="3" max="3" width="32.5703125" style="51" customWidth="1"/>
    <col min="4" max="4" width="13.140625" style="1" customWidth="1"/>
    <col min="5" max="5" width="14.7109375" style="1" customWidth="1"/>
    <col min="6" max="6" width="26.5703125" style="1" customWidth="1"/>
    <col min="7" max="7" width="8.7109375" style="24" customWidth="1"/>
    <col min="8" max="8" width="23.85546875" style="95" customWidth="1"/>
    <col min="9" max="9" width="4.42578125" style="95" bestFit="1" customWidth="1"/>
    <col min="10" max="10" width="52.85546875" style="24" customWidth="1"/>
    <col min="11" max="11" width="18.140625" customWidth="1"/>
  </cols>
  <sheetData>
    <row r="1" spans="1:11" x14ac:dyDescent="0.25">
      <c r="A1" s="230" t="s">
        <v>153</v>
      </c>
      <c r="B1" s="230"/>
      <c r="C1" s="230"/>
      <c r="D1" s="86" t="s">
        <v>51</v>
      </c>
      <c r="E1" s="86" t="s">
        <v>0</v>
      </c>
      <c r="F1" s="86" t="s">
        <v>1</v>
      </c>
      <c r="G1" s="231" t="s">
        <v>46</v>
      </c>
      <c r="H1" s="232"/>
      <c r="I1" s="232"/>
      <c r="J1" s="233"/>
      <c r="K1" s="77" t="s">
        <v>288</v>
      </c>
    </row>
    <row r="2" spans="1:11" s="4" customFormat="1" x14ac:dyDescent="0.25">
      <c r="A2" s="76" t="s">
        <v>325</v>
      </c>
      <c r="B2" s="53"/>
      <c r="C2" s="30"/>
      <c r="D2" s="60" t="s">
        <v>10</v>
      </c>
      <c r="E2" s="31"/>
      <c r="F2" s="61">
        <f t="shared" ref="F2:F9" si="0">E2+F3*100</f>
        <v>0</v>
      </c>
      <c r="G2" s="142" t="s">
        <v>405</v>
      </c>
      <c r="H2" s="89" t="s">
        <v>285</v>
      </c>
      <c r="I2" s="90" t="s">
        <v>286</v>
      </c>
      <c r="J2" s="89" t="s">
        <v>287</v>
      </c>
      <c r="K2" s="4">
        <f>CEILING(Stats!C4/5,1)*10</f>
        <v>40</v>
      </c>
    </row>
    <row r="3" spans="1:11" s="4" customFormat="1" ht="16.5" customHeight="1" x14ac:dyDescent="0.25">
      <c r="A3" s="54"/>
      <c r="B3" s="58"/>
      <c r="C3" s="30"/>
      <c r="D3" s="60" t="s">
        <v>12</v>
      </c>
      <c r="E3" s="31"/>
      <c r="F3" s="61">
        <f t="shared" si="0"/>
        <v>0</v>
      </c>
      <c r="G3" s="125"/>
      <c r="H3" s="141"/>
      <c r="I3" s="92"/>
      <c r="J3" s="91"/>
      <c r="K3" s="66" t="s">
        <v>289</v>
      </c>
    </row>
    <row r="4" spans="1:11" s="4" customFormat="1" x14ac:dyDescent="0.25">
      <c r="A4" s="30"/>
      <c r="B4" s="53"/>
      <c r="C4" s="30"/>
      <c r="D4" s="60" t="s">
        <v>14</v>
      </c>
      <c r="E4" s="31"/>
      <c r="F4" s="61">
        <f t="shared" si="0"/>
        <v>0</v>
      </c>
      <c r="G4" s="91"/>
      <c r="H4" s="92"/>
      <c r="I4" s="92"/>
      <c r="J4" s="91"/>
      <c r="K4" s="4">
        <f>SUM(I3:I6000)-SUM(F31:F40)</f>
        <v>0</v>
      </c>
    </row>
    <row r="5" spans="1:11" s="4" customFormat="1" x14ac:dyDescent="0.25">
      <c r="A5" s="30"/>
      <c r="B5" s="53"/>
      <c r="C5" s="30"/>
      <c r="D5" s="60" t="s">
        <v>15</v>
      </c>
      <c r="E5" s="31"/>
      <c r="F5" s="61">
        <f t="shared" si="0"/>
        <v>0</v>
      </c>
      <c r="G5" s="91"/>
      <c r="H5" s="92"/>
      <c r="I5" s="92"/>
      <c r="J5" s="91"/>
    </row>
    <row r="6" spans="1:11" s="4" customFormat="1" x14ac:dyDescent="0.25">
      <c r="A6" s="30"/>
      <c r="B6" s="53"/>
      <c r="C6" s="30"/>
      <c r="D6" s="60" t="s">
        <v>16</v>
      </c>
      <c r="E6" s="31"/>
      <c r="F6" s="61">
        <f t="shared" si="0"/>
        <v>0</v>
      </c>
      <c r="G6" s="91"/>
      <c r="H6" s="92"/>
      <c r="I6" s="92"/>
      <c r="J6" s="91"/>
    </row>
    <row r="7" spans="1:11" s="4" customFormat="1" x14ac:dyDescent="0.25">
      <c r="A7" s="30"/>
      <c r="B7" s="53"/>
      <c r="C7" s="30"/>
      <c r="D7" s="60" t="s">
        <v>17</v>
      </c>
      <c r="E7" s="31"/>
      <c r="F7" s="61">
        <f t="shared" si="0"/>
        <v>0</v>
      </c>
      <c r="G7" s="91"/>
      <c r="H7" s="92"/>
      <c r="I7" s="92"/>
      <c r="J7" s="91"/>
    </row>
    <row r="8" spans="1:11" s="4" customFormat="1" x14ac:dyDescent="0.25">
      <c r="A8" s="30"/>
      <c r="B8" s="53"/>
      <c r="C8" s="30"/>
      <c r="D8" s="60" t="s">
        <v>19</v>
      </c>
      <c r="E8" s="31"/>
      <c r="F8" s="61">
        <f t="shared" si="0"/>
        <v>0</v>
      </c>
      <c r="G8" s="91"/>
      <c r="H8" s="92"/>
      <c r="I8" s="92"/>
      <c r="J8" s="91"/>
    </row>
    <row r="9" spans="1:11" s="4" customFormat="1" x14ac:dyDescent="0.25">
      <c r="A9" s="30"/>
      <c r="B9" s="53"/>
      <c r="C9" s="30"/>
      <c r="D9" s="60" t="s">
        <v>21</v>
      </c>
      <c r="E9" s="31"/>
      <c r="F9" s="61">
        <f t="shared" si="0"/>
        <v>0</v>
      </c>
      <c r="G9" s="91"/>
      <c r="H9" s="92"/>
      <c r="I9" s="92"/>
      <c r="J9" s="91"/>
    </row>
    <row r="10" spans="1:11" s="4" customFormat="1" x14ac:dyDescent="0.25">
      <c r="A10" s="30"/>
      <c r="B10" s="53"/>
      <c r="C10" s="30"/>
      <c r="D10"/>
      <c r="E10"/>
      <c r="F10"/>
      <c r="G10" s="91"/>
      <c r="H10" s="92"/>
      <c r="I10" s="92"/>
      <c r="J10" s="91"/>
    </row>
    <row r="11" spans="1:11" s="4" customFormat="1" x14ac:dyDescent="0.25">
      <c r="A11" s="30"/>
      <c r="B11" s="53"/>
      <c r="C11" s="30"/>
      <c r="D11" s="87" t="s">
        <v>313</v>
      </c>
      <c r="E11" s="88" t="s">
        <v>0</v>
      </c>
      <c r="F11" s="132"/>
      <c r="G11" s="91"/>
      <c r="H11" s="92"/>
      <c r="I11" s="92"/>
      <c r="J11" s="91"/>
    </row>
    <row r="12" spans="1:11" s="4" customFormat="1" x14ac:dyDescent="0.25">
      <c r="A12" s="30"/>
      <c r="B12" s="53"/>
      <c r="C12" s="30"/>
      <c r="D12" s="60" t="s">
        <v>26</v>
      </c>
      <c r="E12" s="131"/>
      <c r="F12" s="132" t="s">
        <v>388</v>
      </c>
      <c r="G12" s="93"/>
      <c r="H12" s="94"/>
      <c r="I12" s="94"/>
      <c r="J12" s="93"/>
    </row>
    <row r="13" spans="1:11" s="4" customFormat="1" x14ac:dyDescent="0.25">
      <c r="A13" s="30"/>
      <c r="B13" s="53"/>
      <c r="C13" s="30"/>
      <c r="D13" s="60" t="s">
        <v>28</v>
      </c>
      <c r="E13" s="131"/>
      <c r="F13" s="132" t="s">
        <v>393</v>
      </c>
      <c r="G13" s="93"/>
      <c r="H13" s="94"/>
      <c r="I13" s="94"/>
      <c r="J13" s="93"/>
    </row>
    <row r="14" spans="1:11" s="4" customFormat="1" x14ac:dyDescent="0.25">
      <c r="A14" s="30"/>
      <c r="B14" s="53"/>
      <c r="C14" s="30"/>
      <c r="D14" s="60" t="s">
        <v>29</v>
      </c>
      <c r="E14" s="131"/>
      <c r="F14" s="132" t="s">
        <v>392</v>
      </c>
      <c r="G14" s="93"/>
      <c r="H14" s="94"/>
      <c r="I14" s="94"/>
      <c r="J14" s="93"/>
    </row>
    <row r="15" spans="1:11" x14ac:dyDescent="0.25">
      <c r="D15" s="60" t="s">
        <v>30</v>
      </c>
      <c r="E15" s="131"/>
      <c r="F15" s="132" t="s">
        <v>389</v>
      </c>
    </row>
    <row r="16" spans="1:11" x14ac:dyDescent="0.25">
      <c r="D16" s="60" t="s">
        <v>31</v>
      </c>
      <c r="E16" s="131"/>
      <c r="F16" s="132" t="s">
        <v>390</v>
      </c>
    </row>
    <row r="17" spans="4:32" x14ac:dyDescent="0.25">
      <c r="D17" s="60" t="s">
        <v>32</v>
      </c>
      <c r="E17" s="131"/>
      <c r="F17" s="132" t="s">
        <v>391</v>
      </c>
    </row>
    <row r="19" spans="4:32" x14ac:dyDescent="0.25">
      <c r="D19" s="83" t="s">
        <v>314</v>
      </c>
      <c r="E19" s="84" t="s">
        <v>324</v>
      </c>
      <c r="F19" s="85" t="s">
        <v>323</v>
      </c>
    </row>
    <row r="20" spans="4:32" x14ac:dyDescent="0.25">
      <c r="D20" s="79" t="s">
        <v>315</v>
      </c>
      <c r="E20" s="80">
        <v>0</v>
      </c>
      <c r="F20" s="81"/>
    </row>
    <row r="21" spans="4:32" x14ac:dyDescent="0.25">
      <c r="D21" s="79" t="s">
        <v>316</v>
      </c>
      <c r="E21" s="80"/>
      <c r="F21" s="81"/>
    </row>
    <row r="22" spans="4:32" x14ac:dyDescent="0.25">
      <c r="D22" s="79" t="s">
        <v>317</v>
      </c>
      <c r="E22" s="80"/>
      <c r="F22" s="81"/>
    </row>
    <row r="23" spans="4:32" x14ac:dyDescent="0.25">
      <c r="D23" s="79" t="s">
        <v>318</v>
      </c>
      <c r="E23" s="80"/>
      <c r="F23" s="81"/>
    </row>
    <row r="24" spans="4:32" x14ac:dyDescent="0.25">
      <c r="D24" s="79" t="s">
        <v>322</v>
      </c>
      <c r="E24" s="80"/>
      <c r="F24" s="81"/>
    </row>
    <row r="25" spans="4:32" x14ac:dyDescent="0.25">
      <c r="D25" s="82" t="s">
        <v>319</v>
      </c>
      <c r="E25" s="80"/>
      <c r="F25" s="80"/>
    </row>
    <row r="26" spans="4:32" x14ac:dyDescent="0.25">
      <c r="D26" s="82" t="s">
        <v>320</v>
      </c>
      <c r="E26" s="80"/>
      <c r="F26" s="80"/>
    </row>
    <row r="27" spans="4:32" x14ac:dyDescent="0.25">
      <c r="D27" s="82" t="s">
        <v>321</v>
      </c>
      <c r="E27" s="80">
        <f>SUM(E20:E26)</f>
        <v>0</v>
      </c>
      <c r="F27" s="80">
        <f>SUM(F20:F26)</f>
        <v>0</v>
      </c>
    </row>
    <row r="29" spans="4:32" x14ac:dyDescent="0.25">
      <c r="D29" s="193" t="s">
        <v>397</v>
      </c>
      <c r="E29" s="193"/>
      <c r="F29" s="193"/>
    </row>
    <row r="30" spans="4:32" x14ac:dyDescent="0.25">
      <c r="D30" s="137" t="s">
        <v>402</v>
      </c>
      <c r="E30" s="138" t="s">
        <v>373</v>
      </c>
      <c r="F30" s="138" t="s">
        <v>374</v>
      </c>
    </row>
    <row r="31" spans="4:32" x14ac:dyDescent="0.25">
      <c r="D31" s="126" t="s">
        <v>363</v>
      </c>
      <c r="E31" s="127"/>
      <c r="F31" s="78"/>
    </row>
    <row r="32" spans="4:32" x14ac:dyDescent="0.25">
      <c r="D32" s="126" t="s">
        <v>364</v>
      </c>
      <c r="E32" s="78"/>
      <c r="F32" s="78"/>
      <c r="Y32" s="1"/>
      <c r="Z32" s="55"/>
      <c r="AA32" s="55"/>
      <c r="AB32" s="55"/>
      <c r="AC32" s="55"/>
      <c r="AD32" s="55"/>
      <c r="AE32" s="55"/>
      <c r="AF32" s="55"/>
    </row>
    <row r="33" spans="4:32" x14ac:dyDescent="0.25">
      <c r="D33" s="127" t="s">
        <v>365</v>
      </c>
      <c r="E33" s="78"/>
      <c r="F33" s="78"/>
      <c r="Y33" s="56"/>
      <c r="Z33" s="56"/>
      <c r="AA33" s="56"/>
      <c r="AB33" s="56"/>
      <c r="AC33" s="56"/>
      <c r="AD33" s="56"/>
      <c r="AE33" s="56"/>
      <c r="AF33" s="56"/>
    </row>
    <row r="34" spans="4:32" x14ac:dyDescent="0.25">
      <c r="D34" s="127" t="s">
        <v>366</v>
      </c>
      <c r="E34" s="78"/>
      <c r="F34" s="78"/>
      <c r="Y34" s="56"/>
      <c r="Z34" s="56"/>
      <c r="AA34" s="56"/>
      <c r="AB34" s="56"/>
      <c r="AC34" s="56"/>
      <c r="AD34" s="56"/>
      <c r="AE34" s="56"/>
      <c r="AF34" s="56"/>
    </row>
    <row r="35" spans="4:32" x14ac:dyDescent="0.25">
      <c r="D35" s="127" t="s">
        <v>367</v>
      </c>
      <c r="E35" s="78"/>
      <c r="F35" s="78"/>
      <c r="Y35" s="56"/>
      <c r="Z35" s="56"/>
      <c r="AA35" s="56"/>
      <c r="AB35" s="56"/>
      <c r="AC35" s="56"/>
      <c r="AD35" s="56"/>
      <c r="AE35" s="56"/>
      <c r="AF35" s="56"/>
    </row>
    <row r="36" spans="4:32" x14ac:dyDescent="0.25">
      <c r="D36" s="127" t="s">
        <v>368</v>
      </c>
      <c r="E36" s="78"/>
      <c r="F36" s="78"/>
      <c r="Y36" s="56"/>
      <c r="Z36" s="56"/>
      <c r="AA36" s="56"/>
      <c r="AB36" s="56"/>
      <c r="AC36" s="56"/>
      <c r="AD36" s="56"/>
      <c r="AE36" s="56"/>
      <c r="AF36" s="56"/>
    </row>
    <row r="37" spans="4:32" x14ac:dyDescent="0.25">
      <c r="D37" s="127" t="s">
        <v>369</v>
      </c>
      <c r="E37" s="78"/>
      <c r="F37" s="78"/>
      <c r="Y37" s="56"/>
      <c r="Z37" s="56"/>
      <c r="AA37" s="56"/>
      <c r="AB37" s="56"/>
      <c r="AC37" s="56"/>
      <c r="AD37" s="56"/>
      <c r="AE37" s="56"/>
      <c r="AF37" s="56"/>
    </row>
    <row r="38" spans="4:32" x14ac:dyDescent="0.25">
      <c r="D38" s="127" t="s">
        <v>370</v>
      </c>
      <c r="E38" s="78"/>
      <c r="F38" s="78"/>
      <c r="Y38" s="56"/>
      <c r="Z38" s="56"/>
      <c r="AA38" s="56"/>
      <c r="AB38" s="56"/>
      <c r="AC38" s="56"/>
      <c r="AD38" s="56"/>
      <c r="AE38" s="56"/>
      <c r="AF38" s="56"/>
    </row>
    <row r="39" spans="4:32" x14ac:dyDescent="0.25">
      <c r="D39" s="127" t="s">
        <v>371</v>
      </c>
      <c r="E39" s="78"/>
      <c r="F39" s="78"/>
      <c r="Y39" s="56"/>
      <c r="Z39" s="56"/>
      <c r="AA39" s="56"/>
      <c r="AB39" s="56"/>
      <c r="AC39" s="56"/>
      <c r="AD39" s="56"/>
      <c r="AE39" s="56"/>
      <c r="AF39" s="56"/>
    </row>
    <row r="40" spans="4:32" x14ac:dyDescent="0.25">
      <c r="D40" s="127" t="s">
        <v>372</v>
      </c>
      <c r="E40" s="78"/>
      <c r="F40" s="78"/>
      <c r="Y40" s="56"/>
      <c r="Z40" s="56"/>
      <c r="AA40" s="56"/>
      <c r="AB40" s="56"/>
      <c r="AC40" s="56"/>
      <c r="AD40" s="56"/>
      <c r="AE40" s="56"/>
      <c r="AF40" s="56"/>
    </row>
    <row r="41" spans="4:32" x14ac:dyDescent="0.25">
      <c r="D41" s="127" t="s">
        <v>375</v>
      </c>
      <c r="E41" s="78"/>
      <c r="F41" s="78"/>
      <c r="Y41" s="56"/>
      <c r="Z41" s="56"/>
      <c r="AA41" s="56"/>
      <c r="AB41" s="56"/>
      <c r="AC41" s="56"/>
      <c r="AD41" s="56"/>
      <c r="AE41" s="56"/>
      <c r="AF41" s="56"/>
    </row>
    <row r="42" spans="4:32" x14ac:dyDescent="0.25">
      <c r="D42" s="127" t="s">
        <v>376</v>
      </c>
      <c r="E42" s="78"/>
      <c r="F42" s="78"/>
      <c r="Y42" s="56"/>
      <c r="Z42" s="56"/>
      <c r="AA42" s="56"/>
      <c r="AB42" s="56"/>
      <c r="AC42" s="56"/>
      <c r="AD42" s="56"/>
      <c r="AE42" s="56"/>
      <c r="AF42" s="56"/>
    </row>
    <row r="43" spans="4:32" x14ac:dyDescent="0.25">
      <c r="Y43" s="56"/>
      <c r="Z43" s="56"/>
      <c r="AA43" s="56"/>
      <c r="AB43" s="56"/>
      <c r="AC43" s="56"/>
      <c r="AD43" s="56"/>
      <c r="AE43" s="56"/>
      <c r="AF43" s="56"/>
    </row>
  </sheetData>
  <mergeCells count="3">
    <mergeCell ref="A1:C1"/>
    <mergeCell ref="G1:J1"/>
    <mergeCell ref="D29:F29"/>
  </mergeCells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3"/>
  <dimension ref="A1:AM66"/>
  <sheetViews>
    <sheetView zoomScale="110" zoomScaleNormal="110" workbookViewId="0">
      <selection activeCell="S27" sqref="S27"/>
    </sheetView>
  </sheetViews>
  <sheetFormatPr defaultColWidth="9" defaultRowHeight="15" x14ac:dyDescent="0.25"/>
  <cols>
    <col min="3" max="3" width="33.140625" customWidth="1"/>
    <col min="4" max="4" width="10.85546875" customWidth="1"/>
    <col min="8" max="8" width="10.85546875" customWidth="1"/>
    <col min="9" max="9" width="45" customWidth="1"/>
    <col min="11" max="14" width="9" style="64"/>
    <col min="15" max="15" width="18.85546875" style="64" customWidth="1"/>
    <col min="16" max="16" width="25.42578125" style="64" customWidth="1"/>
    <col min="17" max="19" width="9" style="64"/>
    <col min="20" max="20" width="9.42578125" style="64" bestFit="1" customWidth="1"/>
    <col min="21" max="21" width="7.85546875" style="64" customWidth="1"/>
    <col min="22" max="22" width="17.42578125" style="64" customWidth="1"/>
    <col min="23" max="23" width="9" style="64"/>
    <col min="24" max="24" width="17.7109375" style="64" customWidth="1"/>
    <col min="25" max="27" width="9" style="64"/>
    <col min="28" max="28" width="13" style="64" customWidth="1"/>
    <col min="29" max="29" width="9" style="64"/>
    <col min="33" max="33" width="17.7109375" customWidth="1"/>
    <col min="34" max="34" width="15.42578125" customWidth="1"/>
    <col min="35" max="35" width="14.28515625" bestFit="1" customWidth="1"/>
  </cols>
  <sheetData>
    <row r="1" spans="1:39" x14ac:dyDescent="0.25">
      <c r="A1" t="b">
        <v>0</v>
      </c>
      <c r="C1" s="2" t="s">
        <v>2</v>
      </c>
      <c r="D1" s="31" t="s">
        <v>157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18" t="s">
        <v>53</v>
      </c>
      <c r="O1" s="99" t="s">
        <v>36</v>
      </c>
      <c r="P1" s="100" t="s">
        <v>35</v>
      </c>
      <c r="Q1" s="172" t="s">
        <v>424</v>
      </c>
      <c r="R1" s="173" t="s">
        <v>425</v>
      </c>
      <c r="S1" s="173" t="s">
        <v>426</v>
      </c>
      <c r="U1" s="64" t="s">
        <v>115</v>
      </c>
      <c r="V1" s="64" t="s">
        <v>113</v>
      </c>
      <c r="W1" s="64" t="s">
        <v>114</v>
      </c>
      <c r="Y1" s="64" t="s">
        <v>115</v>
      </c>
      <c r="Z1" s="64" t="s">
        <v>113</v>
      </c>
      <c r="AA1" s="64" t="s">
        <v>114</v>
      </c>
      <c r="AB1" s="64" t="s">
        <v>143</v>
      </c>
      <c r="AM1" t="s">
        <v>141</v>
      </c>
    </row>
    <row r="2" spans="1:39" x14ac:dyDescent="0.25">
      <c r="A2" t="b">
        <v>0</v>
      </c>
      <c r="C2" s="2" t="s">
        <v>11</v>
      </c>
      <c r="D2" s="31"/>
      <c r="E2" s="2" t="s">
        <v>9</v>
      </c>
      <c r="F2" s="2" t="s">
        <v>9</v>
      </c>
      <c r="G2" s="2" t="s">
        <v>9</v>
      </c>
      <c r="H2" s="2" t="s">
        <v>9</v>
      </c>
      <c r="I2" s="2"/>
      <c r="J2" s="17"/>
      <c r="N2" s="64">
        <v>1.2</v>
      </c>
      <c r="O2" s="101" t="s">
        <v>428</v>
      </c>
      <c r="P2" s="102" t="s">
        <v>409</v>
      </c>
      <c r="Q2" s="172">
        <v>12</v>
      </c>
      <c r="R2" s="172">
        <v>6</v>
      </c>
      <c r="S2" s="172">
        <f>Q2/R2</f>
        <v>2</v>
      </c>
      <c r="U2" s="64">
        <v>4</v>
      </c>
      <c r="V2" s="64" t="s">
        <v>406</v>
      </c>
      <c r="W2" s="64">
        <v>1</v>
      </c>
      <c r="Y2" s="64">
        <v>8</v>
      </c>
      <c r="Z2" s="64" t="s">
        <v>270</v>
      </c>
      <c r="AA2" s="64">
        <v>1</v>
      </c>
      <c r="AB2" s="64" t="s">
        <v>141</v>
      </c>
    </row>
    <row r="3" spans="1:39" x14ac:dyDescent="0.25">
      <c r="A3" s="11" t="s">
        <v>47</v>
      </c>
      <c r="B3">
        <f>B2+1</f>
        <v>1</v>
      </c>
      <c r="C3" s="35" t="s">
        <v>159</v>
      </c>
      <c r="D3" s="36">
        <v>1</v>
      </c>
      <c r="E3" s="10">
        <v>2</v>
      </c>
      <c r="F3" s="10">
        <v>2</v>
      </c>
      <c r="G3" s="10">
        <v>0</v>
      </c>
      <c r="H3" s="10">
        <v>1</v>
      </c>
      <c r="I3" s="10"/>
      <c r="J3">
        <f t="shared" ref="J3:J31" si="0">ROUNDUP(SUM(E3:H3)/3,0)</f>
        <v>2</v>
      </c>
      <c r="N3" s="64">
        <v>3.4</v>
      </c>
      <c r="O3" s="101" t="s">
        <v>423</v>
      </c>
      <c r="P3" s="102" t="s">
        <v>410</v>
      </c>
      <c r="Q3" s="172">
        <v>18</v>
      </c>
      <c r="R3" s="172">
        <v>8</v>
      </c>
      <c r="S3" s="172">
        <f t="shared" ref="S3:S11" si="1">Q3/R3</f>
        <v>2.25</v>
      </c>
      <c r="U3" s="64">
        <v>4</v>
      </c>
      <c r="V3" s="64" t="s">
        <v>116</v>
      </c>
      <c r="W3" s="64">
        <v>2</v>
      </c>
      <c r="Y3" s="64">
        <v>8</v>
      </c>
      <c r="Z3" s="64" t="s">
        <v>119</v>
      </c>
      <c r="AA3" s="64">
        <v>1</v>
      </c>
      <c r="AB3" s="64" t="s">
        <v>144</v>
      </c>
    </row>
    <row r="4" spans="1:39" x14ac:dyDescent="0.25">
      <c r="A4" s="12" t="s">
        <v>48</v>
      </c>
      <c r="B4">
        <f t="shared" ref="B4:B65" si="2">B3+1</f>
        <v>2</v>
      </c>
      <c r="C4" s="35" t="s">
        <v>160</v>
      </c>
      <c r="D4" s="36">
        <v>1</v>
      </c>
      <c r="E4" s="10">
        <v>1</v>
      </c>
      <c r="F4" s="10">
        <v>3</v>
      </c>
      <c r="G4" s="10">
        <v>2</v>
      </c>
      <c r="H4" s="10">
        <v>3</v>
      </c>
      <c r="I4" s="10"/>
      <c r="J4">
        <f t="shared" si="0"/>
        <v>3</v>
      </c>
      <c r="L4" s="78">
        <f>Stats!C5+Stats!C7</f>
        <v>40</v>
      </c>
      <c r="M4" s="103"/>
      <c r="N4" s="64">
        <v>5.6</v>
      </c>
      <c r="O4" s="101" t="s">
        <v>412</v>
      </c>
      <c r="P4" s="102" t="s">
        <v>411</v>
      </c>
      <c r="Q4" s="172">
        <v>24</v>
      </c>
      <c r="R4" s="172">
        <v>10</v>
      </c>
      <c r="S4" s="172">
        <f t="shared" si="1"/>
        <v>2.4</v>
      </c>
      <c r="U4" s="64">
        <v>4</v>
      </c>
      <c r="V4" s="64" t="s">
        <v>117</v>
      </c>
      <c r="W4" s="64">
        <v>3</v>
      </c>
      <c r="Y4" s="64">
        <v>8</v>
      </c>
      <c r="Z4" s="64" t="s">
        <v>120</v>
      </c>
      <c r="AA4" s="64">
        <v>1</v>
      </c>
      <c r="AB4" s="64" t="s">
        <v>145</v>
      </c>
      <c r="AG4" s="4"/>
      <c r="AH4" s="16"/>
    </row>
    <row r="5" spans="1:39" x14ac:dyDescent="0.25">
      <c r="A5" s="13" t="s">
        <v>49</v>
      </c>
      <c r="B5">
        <f t="shared" si="2"/>
        <v>3</v>
      </c>
      <c r="C5" s="35" t="s">
        <v>161</v>
      </c>
      <c r="D5" s="36">
        <v>1</v>
      </c>
      <c r="E5" s="10">
        <v>4</v>
      </c>
      <c r="F5" s="10">
        <v>0</v>
      </c>
      <c r="G5" s="10">
        <v>1</v>
      </c>
      <c r="H5" s="10">
        <v>2</v>
      </c>
      <c r="I5" s="10"/>
      <c r="J5">
        <f t="shared" si="0"/>
        <v>3</v>
      </c>
      <c r="L5" s="78"/>
      <c r="N5" s="64">
        <v>7.8</v>
      </c>
      <c r="O5" s="101" t="s">
        <v>422</v>
      </c>
      <c r="P5" s="102" t="s">
        <v>419</v>
      </c>
      <c r="Q5" s="172">
        <v>30</v>
      </c>
      <c r="R5" s="172">
        <v>12</v>
      </c>
      <c r="S5" s="172">
        <f t="shared" si="1"/>
        <v>2.5</v>
      </c>
      <c r="Y5" s="64">
        <v>8</v>
      </c>
      <c r="Z5" s="64" t="s">
        <v>121</v>
      </c>
      <c r="AA5" s="64">
        <v>2</v>
      </c>
      <c r="AB5" s="64" t="s">
        <v>146</v>
      </c>
    </row>
    <row r="6" spans="1:39" x14ac:dyDescent="0.25">
      <c r="A6" s="14" t="s">
        <v>50</v>
      </c>
      <c r="B6">
        <f t="shared" si="2"/>
        <v>4</v>
      </c>
      <c r="C6" s="35" t="s">
        <v>162</v>
      </c>
      <c r="D6" s="36">
        <v>1</v>
      </c>
      <c r="E6" s="10">
        <v>1</v>
      </c>
      <c r="F6" s="10">
        <v>1</v>
      </c>
      <c r="G6" s="10">
        <v>1</v>
      </c>
      <c r="H6" s="10">
        <v>1</v>
      </c>
      <c r="I6" s="10"/>
      <c r="J6">
        <f t="shared" si="0"/>
        <v>2</v>
      </c>
      <c r="L6" s="78">
        <f>Stats!C4+Stats!C5</f>
        <v>40</v>
      </c>
      <c r="N6" s="64" t="s">
        <v>342</v>
      </c>
      <c r="O6" s="101" t="s">
        <v>413</v>
      </c>
      <c r="P6" s="102" t="s">
        <v>427</v>
      </c>
      <c r="Q6" s="172">
        <v>60</v>
      </c>
      <c r="R6" s="172">
        <v>20</v>
      </c>
      <c r="S6" s="172">
        <f t="shared" si="1"/>
        <v>3</v>
      </c>
      <c r="Y6" s="64">
        <v>8</v>
      </c>
      <c r="Z6" s="64" t="s">
        <v>122</v>
      </c>
      <c r="AA6" s="64">
        <v>2</v>
      </c>
      <c r="AB6" s="64" t="s">
        <v>147</v>
      </c>
    </row>
    <row r="7" spans="1:39" x14ac:dyDescent="0.25">
      <c r="B7">
        <f t="shared" si="2"/>
        <v>5</v>
      </c>
      <c r="C7" s="35" t="s">
        <v>163</v>
      </c>
      <c r="D7" s="36">
        <v>0</v>
      </c>
      <c r="E7" s="10">
        <v>1</v>
      </c>
      <c r="F7" s="10">
        <v>2</v>
      </c>
      <c r="G7" s="10">
        <v>0</v>
      </c>
      <c r="H7" s="10">
        <v>0</v>
      </c>
      <c r="I7" s="48" t="s">
        <v>218</v>
      </c>
      <c r="J7">
        <f t="shared" si="0"/>
        <v>1</v>
      </c>
      <c r="N7" s="64">
        <v>11.12</v>
      </c>
      <c r="O7" s="101" t="s">
        <v>421</v>
      </c>
      <c r="P7" s="102" t="s">
        <v>418</v>
      </c>
      <c r="Q7" s="172">
        <v>80</v>
      </c>
      <c r="R7" s="172">
        <v>30</v>
      </c>
      <c r="S7" s="172">
        <f t="shared" si="1"/>
        <v>2.6666666666666665</v>
      </c>
      <c r="Y7" s="64">
        <v>8</v>
      </c>
      <c r="Z7" s="64" t="s">
        <v>123</v>
      </c>
      <c r="AA7" s="64">
        <v>2</v>
      </c>
      <c r="AB7" s="64" t="s">
        <v>148</v>
      </c>
    </row>
    <row r="8" spans="1:39" x14ac:dyDescent="0.25">
      <c r="B8">
        <f t="shared" si="2"/>
        <v>6</v>
      </c>
      <c r="C8" s="35" t="s">
        <v>164</v>
      </c>
      <c r="D8" s="36">
        <v>0</v>
      </c>
      <c r="E8" s="10">
        <v>1</v>
      </c>
      <c r="F8" s="10">
        <v>1</v>
      </c>
      <c r="G8" s="10">
        <v>3</v>
      </c>
      <c r="H8" s="10">
        <v>2</v>
      </c>
      <c r="I8" s="10"/>
      <c r="J8">
        <f t="shared" si="0"/>
        <v>3</v>
      </c>
      <c r="N8" s="64">
        <v>13.14</v>
      </c>
      <c r="O8" s="101" t="s">
        <v>420</v>
      </c>
      <c r="P8" s="102" t="s">
        <v>414</v>
      </c>
      <c r="Q8" s="172">
        <v>100</v>
      </c>
      <c r="R8" s="172">
        <v>40</v>
      </c>
      <c r="S8" s="172">
        <f t="shared" si="1"/>
        <v>2.5</v>
      </c>
      <c r="Y8" s="64">
        <v>8</v>
      </c>
      <c r="Z8" s="64" t="s">
        <v>124</v>
      </c>
      <c r="AA8" s="64">
        <v>3</v>
      </c>
      <c r="AB8" s="64" t="s">
        <v>149</v>
      </c>
      <c r="AG8" s="4"/>
      <c r="AH8" s="16"/>
    </row>
    <row r="9" spans="1:39" x14ac:dyDescent="0.25">
      <c r="B9">
        <f t="shared" si="2"/>
        <v>7</v>
      </c>
      <c r="C9" s="36" t="s">
        <v>190</v>
      </c>
      <c r="D9" s="36">
        <v>0</v>
      </c>
      <c r="E9" s="42">
        <v>0</v>
      </c>
      <c r="F9" s="42">
        <v>2</v>
      </c>
      <c r="G9" s="42">
        <v>0</v>
      </c>
      <c r="H9" s="42">
        <v>2</v>
      </c>
      <c r="I9" s="42"/>
      <c r="J9">
        <f t="shared" si="0"/>
        <v>2</v>
      </c>
      <c r="N9" s="64">
        <v>15.16</v>
      </c>
      <c r="O9" s="101" t="s">
        <v>418</v>
      </c>
      <c r="P9" s="102" t="s">
        <v>417</v>
      </c>
      <c r="Q9" s="172">
        <v>200</v>
      </c>
      <c r="R9" s="172">
        <v>80</v>
      </c>
      <c r="S9" s="172">
        <f t="shared" si="1"/>
        <v>2.5</v>
      </c>
      <c r="Y9" s="64">
        <v>8</v>
      </c>
      <c r="Z9" s="64" t="s">
        <v>125</v>
      </c>
      <c r="AA9" s="64">
        <v>3</v>
      </c>
      <c r="AB9" s="64" t="s">
        <v>150</v>
      </c>
    </row>
    <row r="10" spans="1:39" x14ac:dyDescent="0.25">
      <c r="B10">
        <f t="shared" si="2"/>
        <v>8</v>
      </c>
      <c r="C10" s="36" t="s">
        <v>191</v>
      </c>
      <c r="D10" s="36">
        <v>0</v>
      </c>
      <c r="E10" s="42">
        <v>2</v>
      </c>
      <c r="F10" s="42">
        <v>2</v>
      </c>
      <c r="G10" s="42">
        <v>-1</v>
      </c>
      <c r="H10" s="42">
        <v>2</v>
      </c>
      <c r="I10" s="42"/>
      <c r="J10">
        <f t="shared" si="0"/>
        <v>2</v>
      </c>
      <c r="N10" s="64">
        <v>17.18</v>
      </c>
      <c r="O10" s="101" t="s">
        <v>429</v>
      </c>
      <c r="P10" s="102" t="s">
        <v>416</v>
      </c>
      <c r="Q10" s="172">
        <v>300</v>
      </c>
      <c r="R10" s="172">
        <v>124</v>
      </c>
      <c r="S10" s="172">
        <f t="shared" si="1"/>
        <v>2.4193548387096775</v>
      </c>
      <c r="Y10" s="64">
        <v>8</v>
      </c>
      <c r="Z10" s="64" t="s">
        <v>268</v>
      </c>
      <c r="AA10" s="64">
        <v>3</v>
      </c>
      <c r="AB10" s="64" t="s">
        <v>269</v>
      </c>
    </row>
    <row r="11" spans="1:39" x14ac:dyDescent="0.25">
      <c r="B11">
        <f t="shared" si="2"/>
        <v>9</v>
      </c>
      <c r="C11" s="35" t="s">
        <v>165</v>
      </c>
      <c r="D11" s="36">
        <v>0</v>
      </c>
      <c r="E11" s="10">
        <v>3</v>
      </c>
      <c r="F11" s="10">
        <v>2</v>
      </c>
      <c r="G11" s="10">
        <v>-1</v>
      </c>
      <c r="H11" s="10">
        <v>0</v>
      </c>
      <c r="I11" s="10"/>
      <c r="J11">
        <f t="shared" si="0"/>
        <v>2</v>
      </c>
      <c r="N11" s="64" t="s">
        <v>341</v>
      </c>
      <c r="O11" s="101" t="s">
        <v>417</v>
      </c>
      <c r="P11" s="102" t="s">
        <v>415</v>
      </c>
      <c r="Q11" s="172">
        <v>400</v>
      </c>
      <c r="R11" s="172">
        <v>200</v>
      </c>
      <c r="S11" s="172">
        <f t="shared" si="1"/>
        <v>2</v>
      </c>
    </row>
    <row r="12" spans="1:39" x14ac:dyDescent="0.25">
      <c r="B12">
        <f t="shared" si="2"/>
        <v>10</v>
      </c>
      <c r="C12" s="35" t="s">
        <v>166</v>
      </c>
      <c r="D12" s="36">
        <v>0</v>
      </c>
      <c r="E12" s="10">
        <v>4</v>
      </c>
      <c r="F12" s="10">
        <v>2</v>
      </c>
      <c r="G12" s="10">
        <v>-1</v>
      </c>
      <c r="H12" s="10">
        <v>0</v>
      </c>
      <c r="I12" s="10"/>
      <c r="J12">
        <f t="shared" si="0"/>
        <v>2</v>
      </c>
      <c r="O12" s="104" t="s">
        <v>312</v>
      </c>
      <c r="P12" s="105" t="s">
        <v>312</v>
      </c>
      <c r="AG12" s="4"/>
      <c r="AH12" s="16"/>
    </row>
    <row r="13" spans="1:39" x14ac:dyDescent="0.25">
      <c r="B13">
        <f t="shared" si="2"/>
        <v>11</v>
      </c>
      <c r="C13" s="35" t="s">
        <v>167</v>
      </c>
      <c r="D13" s="36">
        <v>0</v>
      </c>
      <c r="E13" s="10">
        <v>-2</v>
      </c>
      <c r="F13" s="10">
        <v>4</v>
      </c>
      <c r="G13" s="10">
        <v>0</v>
      </c>
      <c r="H13" s="10">
        <v>3</v>
      </c>
      <c r="I13" s="10"/>
      <c r="J13">
        <f t="shared" si="0"/>
        <v>2</v>
      </c>
      <c r="U13" s="64" t="s">
        <v>115</v>
      </c>
      <c r="V13" s="64" t="s">
        <v>113</v>
      </c>
      <c r="W13" s="64" t="s">
        <v>114</v>
      </c>
      <c r="X13" s="64" t="s">
        <v>142</v>
      </c>
    </row>
    <row r="14" spans="1:39" x14ac:dyDescent="0.25">
      <c r="B14">
        <f t="shared" si="2"/>
        <v>12</v>
      </c>
      <c r="C14" s="36" t="s">
        <v>188</v>
      </c>
      <c r="D14" s="36">
        <v>0</v>
      </c>
      <c r="E14" s="42">
        <v>4</v>
      </c>
      <c r="F14" s="42">
        <v>0</v>
      </c>
      <c r="G14" s="42">
        <v>0</v>
      </c>
      <c r="H14" s="42">
        <v>2</v>
      </c>
      <c r="I14" s="42"/>
      <c r="J14">
        <f t="shared" si="0"/>
        <v>2</v>
      </c>
      <c r="U14" s="64">
        <v>20</v>
      </c>
      <c r="V14" s="64" t="s">
        <v>118</v>
      </c>
      <c r="W14" s="64">
        <v>1</v>
      </c>
      <c r="X14" s="106" t="s">
        <v>270</v>
      </c>
    </row>
    <row r="15" spans="1:39" x14ac:dyDescent="0.25">
      <c r="B15">
        <f t="shared" si="2"/>
        <v>13</v>
      </c>
      <c r="C15" s="35" t="s">
        <v>168</v>
      </c>
      <c r="D15" s="36">
        <v>0</v>
      </c>
      <c r="E15" s="10">
        <v>0</v>
      </c>
      <c r="F15" s="10">
        <v>0</v>
      </c>
      <c r="G15" s="10">
        <v>0</v>
      </c>
      <c r="H15" s="10">
        <v>1</v>
      </c>
      <c r="I15" s="10" t="s">
        <v>189</v>
      </c>
      <c r="J15">
        <f t="shared" si="0"/>
        <v>1</v>
      </c>
      <c r="U15" s="64">
        <v>20</v>
      </c>
      <c r="V15" s="64" t="s">
        <v>271</v>
      </c>
      <c r="W15" s="64">
        <v>1</v>
      </c>
      <c r="X15" s="106" t="s">
        <v>270</v>
      </c>
    </row>
    <row r="16" spans="1:39" x14ac:dyDescent="0.25">
      <c r="B16">
        <f t="shared" si="2"/>
        <v>14</v>
      </c>
      <c r="C16" s="35" t="s">
        <v>169</v>
      </c>
      <c r="D16" s="36">
        <v>1</v>
      </c>
      <c r="E16" s="10">
        <v>3</v>
      </c>
      <c r="F16" s="10">
        <v>2</v>
      </c>
      <c r="G16" s="10">
        <v>2</v>
      </c>
      <c r="H16" s="10">
        <v>2</v>
      </c>
      <c r="I16" s="10"/>
      <c r="J16">
        <f t="shared" si="0"/>
        <v>3</v>
      </c>
      <c r="U16" s="64">
        <v>20</v>
      </c>
      <c r="V16" s="64" t="s">
        <v>127</v>
      </c>
      <c r="W16" s="64">
        <v>1</v>
      </c>
      <c r="X16" s="106" t="s">
        <v>270</v>
      </c>
    </row>
    <row r="17" spans="2:24" x14ac:dyDescent="0.25">
      <c r="B17">
        <f t="shared" si="2"/>
        <v>15</v>
      </c>
      <c r="C17" s="35" t="s">
        <v>170</v>
      </c>
      <c r="D17" s="36">
        <v>1</v>
      </c>
      <c r="E17" s="10">
        <v>5</v>
      </c>
      <c r="F17" s="10">
        <v>-1</v>
      </c>
      <c r="G17" s="10">
        <v>1</v>
      </c>
      <c r="H17" s="10">
        <v>4</v>
      </c>
      <c r="I17" s="10"/>
      <c r="J17">
        <f t="shared" si="0"/>
        <v>3</v>
      </c>
      <c r="O17" s="107" t="s">
        <v>18</v>
      </c>
      <c r="P17" s="108">
        <f>ROUNDUP((Stats!C4*Stats!C5*Stats!C8)/20,0)</f>
        <v>60</v>
      </c>
      <c r="Q17" s="108"/>
      <c r="R17" s="108"/>
      <c r="U17" s="64">
        <v>20</v>
      </c>
      <c r="V17" s="64" t="s">
        <v>128</v>
      </c>
      <c r="W17" s="64">
        <v>1</v>
      </c>
      <c r="X17" s="64" t="s">
        <v>119</v>
      </c>
    </row>
    <row r="18" spans="2:24" x14ac:dyDescent="0.25">
      <c r="B18">
        <f t="shared" si="2"/>
        <v>16</v>
      </c>
      <c r="C18" s="35" t="s">
        <v>171</v>
      </c>
      <c r="D18" s="36">
        <v>1</v>
      </c>
      <c r="E18" s="10">
        <v>2</v>
      </c>
      <c r="F18" s="10">
        <v>1</v>
      </c>
      <c r="G18" s="10">
        <v>3</v>
      </c>
      <c r="H18" s="10">
        <v>3</v>
      </c>
      <c r="I18" s="10"/>
      <c r="J18">
        <f t="shared" si="0"/>
        <v>3</v>
      </c>
      <c r="O18" s="107" t="s">
        <v>20</v>
      </c>
      <c r="P18" s="108">
        <f>ROUNDUP(Stats!C6*Stats!C7*Stats!C8/20,0)</f>
        <v>60</v>
      </c>
      <c r="Q18" s="108"/>
      <c r="R18" s="108"/>
      <c r="U18" s="64">
        <v>20</v>
      </c>
      <c r="V18" s="64" t="s">
        <v>129</v>
      </c>
      <c r="W18" s="64">
        <v>1</v>
      </c>
      <c r="X18" s="64" t="s">
        <v>119</v>
      </c>
    </row>
    <row r="19" spans="2:24" x14ac:dyDescent="0.25">
      <c r="B19">
        <f t="shared" si="2"/>
        <v>17</v>
      </c>
      <c r="C19" s="43" t="s">
        <v>192</v>
      </c>
      <c r="D19" s="36">
        <v>1</v>
      </c>
      <c r="E19" s="10">
        <v>0</v>
      </c>
      <c r="F19" s="10">
        <v>5</v>
      </c>
      <c r="G19" s="10">
        <v>2</v>
      </c>
      <c r="H19" s="10">
        <v>2</v>
      </c>
      <c r="I19" s="10"/>
      <c r="J19">
        <f t="shared" si="0"/>
        <v>3</v>
      </c>
      <c r="O19" s="107" t="s">
        <v>22</v>
      </c>
      <c r="P19" s="108">
        <f>IF(ROUNDUP(Stats!C3-4,0)&lt;0,0,ROUNDUP(Stats!C3-4,0))</f>
        <v>4</v>
      </c>
      <c r="Q19" s="108"/>
      <c r="R19" s="108"/>
      <c r="U19" s="64">
        <v>20</v>
      </c>
      <c r="V19" s="64" t="s">
        <v>272</v>
      </c>
      <c r="W19" s="64">
        <v>1</v>
      </c>
      <c r="X19" s="64" t="s">
        <v>119</v>
      </c>
    </row>
    <row r="20" spans="2:24" x14ac:dyDescent="0.25">
      <c r="B20">
        <f t="shared" si="2"/>
        <v>18</v>
      </c>
      <c r="C20" s="35" t="s">
        <v>172</v>
      </c>
      <c r="D20" s="36">
        <v>1</v>
      </c>
      <c r="E20" s="10">
        <v>1</v>
      </c>
      <c r="F20" s="10">
        <v>0</v>
      </c>
      <c r="G20" s="10">
        <v>7</v>
      </c>
      <c r="H20" s="10">
        <v>1</v>
      </c>
      <c r="I20" s="10"/>
      <c r="J20">
        <f t="shared" si="0"/>
        <v>3</v>
      </c>
      <c r="O20" s="107" t="s">
        <v>23</v>
      </c>
      <c r="P20" s="108">
        <f>ROUNDUP($P$17*2.5,0)</f>
        <v>150</v>
      </c>
      <c r="Q20" s="108">
        <f>ROUNDUP($P$17*2.5,0)</f>
        <v>150</v>
      </c>
      <c r="R20" s="108">
        <f>ROUNDUP($P$17*2.5,0)</f>
        <v>150</v>
      </c>
      <c r="U20" s="64">
        <v>20</v>
      </c>
      <c r="V20" s="64" t="s">
        <v>130</v>
      </c>
      <c r="W20" s="64">
        <v>1</v>
      </c>
      <c r="X20" s="64" t="s">
        <v>120</v>
      </c>
    </row>
    <row r="21" spans="2:24" x14ac:dyDescent="0.25">
      <c r="B21">
        <f t="shared" si="2"/>
        <v>19</v>
      </c>
      <c r="C21" s="43" t="s">
        <v>193</v>
      </c>
      <c r="D21" s="36">
        <v>1</v>
      </c>
      <c r="E21" s="10">
        <v>2</v>
      </c>
      <c r="F21" s="10">
        <v>2</v>
      </c>
      <c r="G21" s="10">
        <v>3</v>
      </c>
      <c r="H21" s="10">
        <v>-4</v>
      </c>
      <c r="I21" s="48" t="s">
        <v>217</v>
      </c>
      <c r="J21">
        <f t="shared" si="0"/>
        <v>1</v>
      </c>
      <c r="O21" s="107" t="s">
        <v>24</v>
      </c>
      <c r="P21" s="108">
        <f>ROUNDUP($P$17*$P$19*0.25,0)</f>
        <v>60</v>
      </c>
      <c r="Q21" s="108">
        <f>ROUNDUP($P$17*$P$19*0.75,0)</f>
        <v>180</v>
      </c>
      <c r="R21" s="108">
        <f>ROUNDUP($P$17*$P$19*0.5,0)</f>
        <v>120</v>
      </c>
      <c r="U21" s="64">
        <v>20</v>
      </c>
      <c r="V21" s="64" t="s">
        <v>131</v>
      </c>
      <c r="W21" s="64">
        <v>1</v>
      </c>
      <c r="X21" s="64" t="s">
        <v>120</v>
      </c>
    </row>
    <row r="22" spans="2:24" x14ac:dyDescent="0.25">
      <c r="B22">
        <f t="shared" si="2"/>
        <v>20</v>
      </c>
      <c r="C22" s="43" t="s">
        <v>194</v>
      </c>
      <c r="D22" s="36">
        <v>1</v>
      </c>
      <c r="E22" s="10">
        <v>6</v>
      </c>
      <c r="F22" s="10">
        <v>0</v>
      </c>
      <c r="G22" s="10">
        <v>0</v>
      </c>
      <c r="H22" s="10">
        <v>3</v>
      </c>
      <c r="I22" s="10"/>
      <c r="J22">
        <f t="shared" si="0"/>
        <v>3</v>
      </c>
      <c r="O22" s="107" t="s">
        <v>25</v>
      </c>
      <c r="P22" s="108">
        <f>ROUNDUP($P$18*2.5,0)</f>
        <v>150</v>
      </c>
      <c r="Q22" s="108">
        <f>ROUNDUP($P$18*2.5,0)</f>
        <v>150</v>
      </c>
      <c r="R22" s="108">
        <f>ROUNDUP($P$18*2.5,0)</f>
        <v>150</v>
      </c>
      <c r="U22" s="64">
        <v>20</v>
      </c>
      <c r="V22" s="64" t="s">
        <v>273</v>
      </c>
      <c r="W22" s="64">
        <v>1</v>
      </c>
      <c r="X22" s="64" t="s">
        <v>120</v>
      </c>
    </row>
    <row r="23" spans="2:24" x14ac:dyDescent="0.25">
      <c r="B23">
        <f t="shared" si="2"/>
        <v>21</v>
      </c>
      <c r="C23" s="43" t="s">
        <v>195</v>
      </c>
      <c r="D23" s="36">
        <v>1</v>
      </c>
      <c r="E23" s="10">
        <v>2</v>
      </c>
      <c r="F23" s="10">
        <v>-1</v>
      </c>
      <c r="G23" s="10">
        <v>5</v>
      </c>
      <c r="H23" s="10">
        <v>2</v>
      </c>
      <c r="I23" s="10"/>
      <c r="J23">
        <f t="shared" si="0"/>
        <v>3</v>
      </c>
      <c r="O23" s="107" t="s">
        <v>27</v>
      </c>
      <c r="P23" s="108">
        <f>ROUNDUP($P$18*$P$19*0.75,0)</f>
        <v>180</v>
      </c>
      <c r="Q23" s="108">
        <f>ROUNDUP($P$18*$P$19*0.25,0)</f>
        <v>60</v>
      </c>
      <c r="R23" s="108">
        <f>ROUNDUP($P$18*$P$19*0.5,0)</f>
        <v>120</v>
      </c>
      <c r="U23" s="64">
        <v>20</v>
      </c>
      <c r="V23" s="64" t="s">
        <v>132</v>
      </c>
      <c r="W23" s="64">
        <v>2</v>
      </c>
      <c r="X23" s="64" t="s">
        <v>121</v>
      </c>
    </row>
    <row r="24" spans="2:24" x14ac:dyDescent="0.25">
      <c r="B24">
        <f t="shared" si="2"/>
        <v>22</v>
      </c>
      <c r="C24" s="43" t="s">
        <v>196</v>
      </c>
      <c r="D24" s="36">
        <v>1</v>
      </c>
      <c r="E24" s="10">
        <v>3</v>
      </c>
      <c r="F24" s="10">
        <v>0</v>
      </c>
      <c r="G24" s="10">
        <v>0</v>
      </c>
      <c r="H24" s="10">
        <v>4</v>
      </c>
      <c r="I24" s="10"/>
      <c r="J24">
        <f t="shared" si="0"/>
        <v>3</v>
      </c>
      <c r="U24" s="64">
        <v>20</v>
      </c>
      <c r="V24" s="64" t="s">
        <v>277</v>
      </c>
      <c r="W24" s="64">
        <v>2</v>
      </c>
      <c r="X24" s="64" t="s">
        <v>121</v>
      </c>
    </row>
    <row r="25" spans="2:24" x14ac:dyDescent="0.25">
      <c r="B25">
        <f t="shared" si="2"/>
        <v>23</v>
      </c>
      <c r="C25" s="44" t="s">
        <v>198</v>
      </c>
      <c r="D25" s="36">
        <v>1</v>
      </c>
      <c r="E25" s="42">
        <v>4</v>
      </c>
      <c r="F25" s="42">
        <v>2</v>
      </c>
      <c r="G25" s="42">
        <v>4</v>
      </c>
      <c r="H25" s="42">
        <v>-1</v>
      </c>
      <c r="I25" s="42"/>
      <c r="J25">
        <f t="shared" si="0"/>
        <v>3</v>
      </c>
      <c r="U25" s="64">
        <v>20</v>
      </c>
      <c r="V25" s="64" t="s">
        <v>278</v>
      </c>
      <c r="W25" s="64">
        <v>2</v>
      </c>
      <c r="X25" s="64" t="s">
        <v>121</v>
      </c>
    </row>
    <row r="26" spans="2:24" x14ac:dyDescent="0.25">
      <c r="B26">
        <f t="shared" si="2"/>
        <v>24</v>
      </c>
      <c r="C26" s="43" t="s">
        <v>197</v>
      </c>
      <c r="D26" s="36">
        <v>1</v>
      </c>
      <c r="E26" s="10">
        <v>3</v>
      </c>
      <c r="F26" s="10">
        <v>-6</v>
      </c>
      <c r="G26" s="10">
        <v>3</v>
      </c>
      <c r="H26" s="10">
        <v>3</v>
      </c>
      <c r="I26" s="48" t="s">
        <v>219</v>
      </c>
      <c r="J26">
        <f t="shared" si="0"/>
        <v>1</v>
      </c>
      <c r="O26" s="23" t="s">
        <v>89</v>
      </c>
      <c r="P26" s="1">
        <f>Inventory!E16-Inventory!E17</f>
        <v>0</v>
      </c>
      <c r="U26" s="64">
        <v>20</v>
      </c>
      <c r="V26" s="64" t="s">
        <v>279</v>
      </c>
      <c r="W26" s="64">
        <v>2</v>
      </c>
      <c r="X26" s="64" t="s">
        <v>122</v>
      </c>
    </row>
    <row r="27" spans="2:24" ht="13.5" customHeight="1" x14ac:dyDescent="0.25">
      <c r="B27">
        <f t="shared" si="2"/>
        <v>25</v>
      </c>
      <c r="C27" s="44" t="s">
        <v>199</v>
      </c>
      <c r="D27" s="36">
        <v>1</v>
      </c>
      <c r="E27" s="42">
        <v>5</v>
      </c>
      <c r="F27" s="42">
        <v>-4</v>
      </c>
      <c r="G27" s="42">
        <v>7</v>
      </c>
      <c r="H27" s="42">
        <v>7</v>
      </c>
      <c r="I27" s="49" t="s">
        <v>220</v>
      </c>
      <c r="J27">
        <f t="shared" si="0"/>
        <v>5</v>
      </c>
      <c r="O27" s="1" t="str">
        <f>IF(meta!P26&lt;&gt;0,IF(meta!P26&gt;50,"good",IF(meta!P26&lt;-50,"evil","none")),"none")</f>
        <v>none</v>
      </c>
      <c r="P27" s="64">
        <f>IF(meta!P26&lt;&gt;0,IF(meta!P26&gt;50,1,IF(meta!P26&lt;-50,-1,0)),0)</f>
        <v>0</v>
      </c>
      <c r="U27" s="64">
        <v>20</v>
      </c>
      <c r="V27" s="64" t="s">
        <v>280</v>
      </c>
      <c r="W27" s="64">
        <v>2</v>
      </c>
      <c r="X27" s="64" t="s">
        <v>122</v>
      </c>
    </row>
    <row r="28" spans="2:24" x14ac:dyDescent="0.25">
      <c r="B28">
        <f t="shared" si="2"/>
        <v>26</v>
      </c>
      <c r="C28" s="35" t="s">
        <v>173</v>
      </c>
      <c r="D28" s="36">
        <v>1</v>
      </c>
      <c r="E28" s="10">
        <v>-2</v>
      </c>
      <c r="F28" s="10">
        <v>3</v>
      </c>
      <c r="G28" s="10">
        <v>1</v>
      </c>
      <c r="H28" s="10">
        <v>1</v>
      </c>
      <c r="I28" s="20" t="s">
        <v>55</v>
      </c>
      <c r="J28">
        <f t="shared" si="0"/>
        <v>1</v>
      </c>
      <c r="U28" s="64">
        <v>20</v>
      </c>
      <c r="V28" s="64" t="s">
        <v>135</v>
      </c>
      <c r="W28" s="64">
        <v>2</v>
      </c>
      <c r="X28" s="64" t="s">
        <v>122</v>
      </c>
    </row>
    <row r="29" spans="2:24" x14ac:dyDescent="0.25">
      <c r="B29">
        <f t="shared" si="2"/>
        <v>27</v>
      </c>
      <c r="C29" s="116" t="s">
        <v>347</v>
      </c>
      <c r="D29" s="36">
        <v>0</v>
      </c>
      <c r="E29" s="10">
        <v>2</v>
      </c>
      <c r="F29" s="10">
        <v>1</v>
      </c>
      <c r="G29" s="10">
        <v>4</v>
      </c>
      <c r="H29" s="10">
        <v>2</v>
      </c>
      <c r="I29" s="10"/>
      <c r="J29">
        <f t="shared" si="0"/>
        <v>3</v>
      </c>
      <c r="U29" s="64">
        <v>20</v>
      </c>
      <c r="V29" s="64" t="s">
        <v>133</v>
      </c>
      <c r="W29" s="64">
        <v>2</v>
      </c>
      <c r="X29" s="64" t="s">
        <v>123</v>
      </c>
    </row>
    <row r="30" spans="2:24" x14ac:dyDescent="0.25">
      <c r="B30">
        <f t="shared" si="2"/>
        <v>28</v>
      </c>
      <c r="C30" s="35" t="s">
        <v>174</v>
      </c>
      <c r="D30" s="36">
        <v>1</v>
      </c>
      <c r="E30" s="10">
        <v>4</v>
      </c>
      <c r="F30" s="10">
        <v>2</v>
      </c>
      <c r="G30" s="10">
        <v>2</v>
      </c>
      <c r="H30" s="10">
        <v>3</v>
      </c>
      <c r="I30" s="10"/>
      <c r="J30">
        <f t="shared" si="0"/>
        <v>4</v>
      </c>
      <c r="N30" s="234" t="s">
        <v>227</v>
      </c>
      <c r="O30" s="235"/>
      <c r="P30" s="236"/>
      <c r="U30" s="64">
        <v>20</v>
      </c>
      <c r="V30" s="64" t="s">
        <v>281</v>
      </c>
      <c r="W30" s="64">
        <v>2</v>
      </c>
      <c r="X30" s="64" t="s">
        <v>123</v>
      </c>
    </row>
    <row r="31" spans="2:24" x14ac:dyDescent="0.25">
      <c r="B31">
        <f t="shared" si="2"/>
        <v>29</v>
      </c>
      <c r="C31" s="116" t="s">
        <v>348</v>
      </c>
      <c r="D31" s="36">
        <v>0</v>
      </c>
      <c r="E31" s="10">
        <v>1</v>
      </c>
      <c r="F31" s="10">
        <v>3</v>
      </c>
      <c r="G31" s="10">
        <v>1</v>
      </c>
      <c r="H31" s="10">
        <v>1</v>
      </c>
      <c r="I31" s="10"/>
      <c r="J31">
        <f t="shared" si="0"/>
        <v>2</v>
      </c>
      <c r="N31" s="62" t="s">
        <v>8</v>
      </c>
      <c r="O31" s="177" t="s">
        <v>226</v>
      </c>
      <c r="P31" s="62" t="s">
        <v>253</v>
      </c>
      <c r="U31" s="64">
        <v>20</v>
      </c>
      <c r="V31" s="64" t="s">
        <v>134</v>
      </c>
      <c r="W31" s="64">
        <v>2</v>
      </c>
      <c r="X31" s="64" t="s">
        <v>123</v>
      </c>
    </row>
    <row r="32" spans="2:24" x14ac:dyDescent="0.25">
      <c r="B32">
        <f t="shared" si="2"/>
        <v>30</v>
      </c>
      <c r="C32" s="118" t="s">
        <v>352</v>
      </c>
      <c r="D32" s="36">
        <v>0</v>
      </c>
      <c r="E32" s="10">
        <v>4</v>
      </c>
      <c r="F32" s="10">
        <v>4</v>
      </c>
      <c r="G32" s="10">
        <v>1</v>
      </c>
      <c r="H32" s="10">
        <v>0</v>
      </c>
      <c r="I32" s="10"/>
      <c r="J32">
        <f t="shared" ref="J32:J57" si="3">ROUNDUP(SUM(E32:H32)/3,0)</f>
        <v>3</v>
      </c>
      <c r="L32" s="109"/>
      <c r="M32" s="109"/>
      <c r="N32" s="175">
        <v>1</v>
      </c>
      <c r="O32" s="62" t="s">
        <v>254</v>
      </c>
      <c r="P32" s="62">
        <v>3</v>
      </c>
      <c r="U32" s="64">
        <v>20</v>
      </c>
      <c r="V32" s="64" t="s">
        <v>136</v>
      </c>
      <c r="W32" s="64">
        <v>3</v>
      </c>
      <c r="X32" s="64" t="s">
        <v>124</v>
      </c>
    </row>
    <row r="33" spans="2:24" x14ac:dyDescent="0.25">
      <c r="B33">
        <f t="shared" si="2"/>
        <v>31</v>
      </c>
      <c r="C33" s="35" t="s">
        <v>175</v>
      </c>
      <c r="D33" s="36">
        <v>0</v>
      </c>
      <c r="E33" s="10">
        <v>3</v>
      </c>
      <c r="F33" s="10">
        <v>4</v>
      </c>
      <c r="G33" s="10">
        <v>-2</v>
      </c>
      <c r="H33" s="10">
        <v>-1</v>
      </c>
      <c r="I33" s="10"/>
      <c r="J33">
        <f t="shared" si="3"/>
        <v>2</v>
      </c>
      <c r="L33" s="109"/>
      <c r="M33" s="109"/>
      <c r="N33" s="175">
        <v>2</v>
      </c>
      <c r="O33" s="62" t="s">
        <v>255</v>
      </c>
      <c r="P33" s="62">
        <v>5</v>
      </c>
      <c r="U33" s="64">
        <v>20</v>
      </c>
      <c r="V33" s="64" t="s">
        <v>137</v>
      </c>
      <c r="W33" s="64">
        <v>3</v>
      </c>
      <c r="X33" s="64" t="s">
        <v>124</v>
      </c>
    </row>
    <row r="34" spans="2:24" x14ac:dyDescent="0.25">
      <c r="B34">
        <f t="shared" si="2"/>
        <v>32</v>
      </c>
      <c r="C34" s="35" t="s">
        <v>176</v>
      </c>
      <c r="D34" s="36">
        <v>1</v>
      </c>
      <c r="E34" s="10">
        <v>-1</v>
      </c>
      <c r="F34" s="10">
        <v>5</v>
      </c>
      <c r="G34" s="10">
        <v>2</v>
      </c>
      <c r="H34" s="10">
        <v>0</v>
      </c>
      <c r="I34" s="10"/>
      <c r="J34">
        <f t="shared" si="3"/>
        <v>2</v>
      </c>
      <c r="L34" s="109"/>
      <c r="M34" s="109"/>
      <c r="N34" s="175">
        <v>3</v>
      </c>
      <c r="O34" s="62" t="s">
        <v>256</v>
      </c>
      <c r="P34" s="62">
        <v>7</v>
      </c>
      <c r="U34" s="64">
        <v>20</v>
      </c>
      <c r="V34" s="64" t="s">
        <v>126</v>
      </c>
      <c r="W34" s="64">
        <v>3</v>
      </c>
      <c r="X34" s="64" t="s">
        <v>124</v>
      </c>
    </row>
    <row r="35" spans="2:24" x14ac:dyDescent="0.25">
      <c r="B35">
        <f t="shared" si="2"/>
        <v>33</v>
      </c>
      <c r="C35" s="35" t="s">
        <v>177</v>
      </c>
      <c r="D35" s="36">
        <v>1</v>
      </c>
      <c r="E35" s="10">
        <v>1</v>
      </c>
      <c r="F35" s="10">
        <v>2</v>
      </c>
      <c r="G35" s="10">
        <v>1</v>
      </c>
      <c r="H35" s="10">
        <v>1</v>
      </c>
      <c r="I35" s="10"/>
      <c r="J35">
        <f t="shared" si="3"/>
        <v>2</v>
      </c>
      <c r="L35" s="109"/>
      <c r="M35" s="109"/>
      <c r="N35" s="175">
        <v>4</v>
      </c>
      <c r="O35" s="62" t="s">
        <v>257</v>
      </c>
      <c r="P35" s="62">
        <v>9</v>
      </c>
      <c r="U35" s="64">
        <v>20</v>
      </c>
      <c r="V35" s="64" t="s">
        <v>138</v>
      </c>
      <c r="W35" s="64">
        <v>3</v>
      </c>
      <c r="X35" s="64" t="s">
        <v>125</v>
      </c>
    </row>
    <row r="36" spans="2:24" x14ac:dyDescent="0.25">
      <c r="B36">
        <f t="shared" si="2"/>
        <v>34</v>
      </c>
      <c r="C36" s="43" t="s">
        <v>200</v>
      </c>
      <c r="D36" s="36">
        <v>1</v>
      </c>
      <c r="E36" s="10">
        <v>4</v>
      </c>
      <c r="F36" s="10">
        <v>4</v>
      </c>
      <c r="G36" s="10">
        <v>0</v>
      </c>
      <c r="H36" s="10">
        <v>3</v>
      </c>
      <c r="I36" s="10" t="s">
        <v>203</v>
      </c>
      <c r="J36">
        <f t="shared" si="3"/>
        <v>4</v>
      </c>
      <c r="L36" s="109"/>
      <c r="M36" s="109"/>
      <c r="N36" s="175">
        <v>5</v>
      </c>
      <c r="O36" s="62" t="s">
        <v>258</v>
      </c>
      <c r="P36" s="62">
        <v>10</v>
      </c>
      <c r="U36" s="64">
        <v>20</v>
      </c>
      <c r="V36" s="64" t="s">
        <v>274</v>
      </c>
      <c r="W36" s="64">
        <v>3</v>
      </c>
      <c r="X36" s="64" t="s">
        <v>125</v>
      </c>
    </row>
    <row r="37" spans="2:24" x14ac:dyDescent="0.25">
      <c r="B37">
        <f t="shared" si="2"/>
        <v>35</v>
      </c>
      <c r="C37" s="44" t="s">
        <v>201</v>
      </c>
      <c r="D37" s="36">
        <v>1</v>
      </c>
      <c r="E37" s="42">
        <v>3</v>
      </c>
      <c r="F37" s="42">
        <v>3</v>
      </c>
      <c r="G37" s="42">
        <v>3</v>
      </c>
      <c r="H37" s="42">
        <v>3</v>
      </c>
      <c r="I37" s="49" t="s">
        <v>221</v>
      </c>
      <c r="J37">
        <f t="shared" si="3"/>
        <v>4</v>
      </c>
      <c r="L37" s="109"/>
      <c r="M37" s="109"/>
      <c r="N37" s="109"/>
      <c r="U37" s="64">
        <v>20</v>
      </c>
      <c r="V37" s="64" t="s">
        <v>139</v>
      </c>
      <c r="W37" s="64">
        <v>3</v>
      </c>
      <c r="X37" s="64" t="s">
        <v>125</v>
      </c>
    </row>
    <row r="38" spans="2:24" x14ac:dyDescent="0.25">
      <c r="B38">
        <f t="shared" si="2"/>
        <v>36</v>
      </c>
      <c r="C38" s="44" t="s">
        <v>202</v>
      </c>
      <c r="D38" s="44">
        <v>0</v>
      </c>
      <c r="E38" s="42">
        <v>1</v>
      </c>
      <c r="F38" s="42">
        <v>4</v>
      </c>
      <c r="G38" s="42">
        <v>2</v>
      </c>
      <c r="H38" s="42">
        <v>1</v>
      </c>
      <c r="I38" s="42"/>
      <c r="J38">
        <f t="shared" si="3"/>
        <v>3</v>
      </c>
      <c r="L38" s="109"/>
      <c r="M38" s="109"/>
      <c r="N38" s="234" t="s">
        <v>228</v>
      </c>
      <c r="O38" s="235"/>
      <c r="P38" s="236"/>
      <c r="U38" s="64">
        <v>20</v>
      </c>
      <c r="V38" s="64" t="s">
        <v>276</v>
      </c>
      <c r="W38" s="64">
        <v>3</v>
      </c>
      <c r="X38" s="64" t="s">
        <v>268</v>
      </c>
    </row>
    <row r="39" spans="2:24" x14ac:dyDescent="0.25">
      <c r="B39">
        <f t="shared" si="2"/>
        <v>37</v>
      </c>
      <c r="C39" s="44" t="s">
        <v>204</v>
      </c>
      <c r="D39" s="36">
        <v>1</v>
      </c>
      <c r="E39" s="42">
        <v>-2</v>
      </c>
      <c r="F39" s="42">
        <v>-2</v>
      </c>
      <c r="G39" s="42">
        <v>5</v>
      </c>
      <c r="H39" s="42">
        <v>1</v>
      </c>
      <c r="I39" s="49" t="s">
        <v>222</v>
      </c>
      <c r="J39">
        <f t="shared" si="3"/>
        <v>1</v>
      </c>
      <c r="L39" s="109"/>
      <c r="M39" s="109"/>
      <c r="N39" s="62" t="s">
        <v>8</v>
      </c>
      <c r="O39" s="174" t="s">
        <v>226</v>
      </c>
      <c r="P39" s="174" t="s">
        <v>229</v>
      </c>
      <c r="U39" s="64">
        <v>20</v>
      </c>
      <c r="V39" s="64" t="s">
        <v>140</v>
      </c>
      <c r="W39" s="64">
        <v>3</v>
      </c>
      <c r="X39" s="64" t="s">
        <v>268</v>
      </c>
    </row>
    <row r="40" spans="2:24" x14ac:dyDescent="0.25">
      <c r="B40">
        <f t="shared" si="2"/>
        <v>38</v>
      </c>
      <c r="C40" s="35" t="s">
        <v>178</v>
      </c>
      <c r="D40" s="36">
        <v>1</v>
      </c>
      <c r="E40" s="10">
        <v>1</v>
      </c>
      <c r="F40" s="10">
        <v>2</v>
      </c>
      <c r="G40" s="10">
        <v>1</v>
      </c>
      <c r="H40" s="10">
        <v>2</v>
      </c>
      <c r="I40" s="10"/>
      <c r="J40">
        <f t="shared" si="3"/>
        <v>2</v>
      </c>
      <c r="M40" s="109"/>
      <c r="N40" s="175">
        <v>1</v>
      </c>
      <c r="O40" s="176" t="s">
        <v>428</v>
      </c>
      <c r="P40" s="62">
        <v>1</v>
      </c>
      <c r="U40" s="64">
        <v>20</v>
      </c>
      <c r="V40" s="64" t="s">
        <v>275</v>
      </c>
      <c r="W40" s="64">
        <v>3</v>
      </c>
      <c r="X40" s="64" t="s">
        <v>268</v>
      </c>
    </row>
    <row r="41" spans="2:24" x14ac:dyDescent="0.25">
      <c r="B41">
        <f t="shared" si="2"/>
        <v>39</v>
      </c>
      <c r="C41" s="35" t="s">
        <v>179</v>
      </c>
      <c r="D41" s="36">
        <v>0</v>
      </c>
      <c r="E41" s="10">
        <v>0</v>
      </c>
      <c r="F41" s="10">
        <v>3</v>
      </c>
      <c r="G41" s="10">
        <v>1</v>
      </c>
      <c r="H41" s="10">
        <v>2</v>
      </c>
      <c r="I41" s="10"/>
      <c r="J41">
        <f t="shared" si="3"/>
        <v>2</v>
      </c>
      <c r="M41" s="109"/>
      <c r="N41" s="175">
        <v>2</v>
      </c>
      <c r="O41" s="176" t="s">
        <v>423</v>
      </c>
      <c r="P41" s="62">
        <v>2</v>
      </c>
    </row>
    <row r="42" spans="2:24" x14ac:dyDescent="0.25">
      <c r="B42">
        <f t="shared" si="2"/>
        <v>40</v>
      </c>
      <c r="C42" s="35" t="s">
        <v>180</v>
      </c>
      <c r="D42" s="36">
        <v>0</v>
      </c>
      <c r="E42" s="10">
        <v>1</v>
      </c>
      <c r="F42" s="10">
        <v>3</v>
      </c>
      <c r="G42" s="10">
        <v>3</v>
      </c>
      <c r="H42" s="10">
        <v>2</v>
      </c>
      <c r="I42" s="10"/>
      <c r="J42">
        <f t="shared" si="3"/>
        <v>3</v>
      </c>
      <c r="M42" s="109"/>
      <c r="N42" s="175">
        <v>3</v>
      </c>
      <c r="O42" s="176" t="s">
        <v>412</v>
      </c>
      <c r="P42" s="62">
        <v>3</v>
      </c>
    </row>
    <row r="43" spans="2:24" x14ac:dyDescent="0.25">
      <c r="B43">
        <f t="shared" si="2"/>
        <v>41</v>
      </c>
      <c r="C43" s="35" t="s">
        <v>181</v>
      </c>
      <c r="D43" s="36">
        <v>0</v>
      </c>
      <c r="E43" s="10">
        <v>4</v>
      </c>
      <c r="F43" s="10">
        <v>4</v>
      </c>
      <c r="G43" s="10">
        <v>-1</v>
      </c>
      <c r="H43" s="10">
        <v>4</v>
      </c>
      <c r="I43" s="10"/>
      <c r="J43">
        <f t="shared" si="3"/>
        <v>4</v>
      </c>
      <c r="M43" s="109"/>
      <c r="N43" s="175">
        <v>4</v>
      </c>
      <c r="O43" s="176" t="s">
        <v>422</v>
      </c>
      <c r="P43" s="62">
        <v>4</v>
      </c>
      <c r="T43" s="110" t="s">
        <v>93</v>
      </c>
      <c r="U43" s="62" t="s">
        <v>94</v>
      </c>
      <c r="V43" s="62" t="s">
        <v>95</v>
      </c>
      <c r="W43" s="62" t="s">
        <v>96</v>
      </c>
    </row>
    <row r="44" spans="2:24" x14ac:dyDescent="0.25">
      <c r="B44">
        <f t="shared" si="2"/>
        <v>42</v>
      </c>
      <c r="C44" s="41" t="s">
        <v>182</v>
      </c>
      <c r="D44" s="38">
        <v>0</v>
      </c>
      <c r="E44" s="9">
        <v>3</v>
      </c>
      <c r="F44" s="9">
        <v>1</v>
      </c>
      <c r="G44" s="9">
        <v>2</v>
      </c>
      <c r="H44" s="9">
        <v>2</v>
      </c>
      <c r="I44" s="9"/>
      <c r="J44">
        <f t="shared" si="3"/>
        <v>3</v>
      </c>
      <c r="N44" s="175">
        <v>5</v>
      </c>
      <c r="O44" s="176" t="s">
        <v>413</v>
      </c>
      <c r="P44" s="62">
        <v>5</v>
      </c>
      <c r="T44" s="111" t="s">
        <v>103</v>
      </c>
      <c r="U44" s="112">
        <f>meta!P$20+meta!P$21</f>
        <v>210</v>
      </c>
      <c r="V44" s="112">
        <f>meta!Q$20+meta!Q$21</f>
        <v>330</v>
      </c>
      <c r="W44" s="112">
        <f>meta!R$20+meta!R$21</f>
        <v>270</v>
      </c>
    </row>
    <row r="45" spans="2:24" x14ac:dyDescent="0.25">
      <c r="B45">
        <f t="shared" si="2"/>
        <v>43</v>
      </c>
      <c r="C45" s="41" t="s">
        <v>183</v>
      </c>
      <c r="D45" s="38">
        <v>0</v>
      </c>
      <c r="E45" s="9">
        <v>1</v>
      </c>
      <c r="F45" s="9">
        <v>1</v>
      </c>
      <c r="G45" s="9">
        <v>1</v>
      </c>
      <c r="H45" s="9">
        <v>2</v>
      </c>
      <c r="I45" s="9"/>
      <c r="J45">
        <f t="shared" si="3"/>
        <v>2</v>
      </c>
      <c r="N45" s="175">
        <v>6</v>
      </c>
      <c r="O45" s="176" t="s">
        <v>421</v>
      </c>
      <c r="P45" s="62">
        <v>6</v>
      </c>
      <c r="T45" s="111" t="s">
        <v>104</v>
      </c>
      <c r="U45" s="112">
        <f>meta!P$22+meta!P$23</f>
        <v>330</v>
      </c>
      <c r="V45" s="112">
        <f>meta!Q$22+meta!Q$23</f>
        <v>210</v>
      </c>
      <c r="W45" s="112">
        <f>meta!R$22+meta!R$23</f>
        <v>270</v>
      </c>
    </row>
    <row r="46" spans="2:24" x14ac:dyDescent="0.25">
      <c r="B46">
        <f t="shared" si="2"/>
        <v>44</v>
      </c>
      <c r="C46" s="46" t="s">
        <v>205</v>
      </c>
      <c r="D46" s="38">
        <v>0</v>
      </c>
      <c r="E46" s="9">
        <v>5</v>
      </c>
      <c r="F46" s="9">
        <v>1</v>
      </c>
      <c r="G46" s="9">
        <v>-1</v>
      </c>
      <c r="H46" s="9">
        <v>3</v>
      </c>
      <c r="I46" s="9"/>
      <c r="J46">
        <f t="shared" si="3"/>
        <v>3</v>
      </c>
      <c r="N46" s="175">
        <v>7</v>
      </c>
      <c r="O46" s="176" t="s">
        <v>420</v>
      </c>
      <c r="P46" s="62">
        <v>7</v>
      </c>
      <c r="T46" s="113" t="s">
        <v>105</v>
      </c>
      <c r="U46" s="112">
        <f t="shared" ref="U46:W47" si="4">ROUNDUP(U44/3,0)</f>
        <v>70</v>
      </c>
      <c r="V46" s="112">
        <f t="shared" si="4"/>
        <v>110</v>
      </c>
      <c r="W46" s="112">
        <f t="shared" si="4"/>
        <v>90</v>
      </c>
    </row>
    <row r="47" spans="2:24" x14ac:dyDescent="0.25">
      <c r="B47">
        <f t="shared" si="2"/>
        <v>45</v>
      </c>
      <c r="C47" s="41" t="s">
        <v>184</v>
      </c>
      <c r="D47" s="38">
        <v>0</v>
      </c>
      <c r="E47" s="9">
        <v>0</v>
      </c>
      <c r="F47" s="9">
        <v>3</v>
      </c>
      <c r="G47" s="9">
        <v>3</v>
      </c>
      <c r="H47" s="9">
        <v>5</v>
      </c>
      <c r="I47" s="9"/>
      <c r="J47">
        <f t="shared" si="3"/>
        <v>4</v>
      </c>
      <c r="N47" s="175">
        <v>8</v>
      </c>
      <c r="O47" s="176" t="s">
        <v>418</v>
      </c>
      <c r="P47" s="62">
        <v>8</v>
      </c>
      <c r="T47" s="113" t="s">
        <v>106</v>
      </c>
      <c r="U47" s="112">
        <f t="shared" si="4"/>
        <v>110</v>
      </c>
      <c r="V47" s="112">
        <f t="shared" si="4"/>
        <v>70</v>
      </c>
      <c r="W47" s="112">
        <f t="shared" si="4"/>
        <v>90</v>
      </c>
    </row>
    <row r="48" spans="2:24" x14ac:dyDescent="0.25">
      <c r="B48">
        <f t="shared" si="2"/>
        <v>46</v>
      </c>
      <c r="C48" s="41" t="s">
        <v>185</v>
      </c>
      <c r="D48" s="38">
        <v>0</v>
      </c>
      <c r="E48" s="9">
        <v>10</v>
      </c>
      <c r="F48" s="9">
        <v>2</v>
      </c>
      <c r="G48" s="9">
        <v>-1</v>
      </c>
      <c r="H48" s="9">
        <v>2</v>
      </c>
      <c r="I48" s="9" t="s">
        <v>33</v>
      </c>
      <c r="J48">
        <f t="shared" si="3"/>
        <v>5</v>
      </c>
      <c r="N48" s="175">
        <v>9</v>
      </c>
      <c r="O48" s="176" t="s">
        <v>429</v>
      </c>
      <c r="P48" s="62">
        <v>9</v>
      </c>
    </row>
    <row r="49" spans="2:21" x14ac:dyDescent="0.25">
      <c r="B49">
        <f t="shared" si="2"/>
        <v>47</v>
      </c>
      <c r="C49" s="46" t="s">
        <v>186</v>
      </c>
      <c r="D49" s="38">
        <v>0</v>
      </c>
      <c r="E49" s="9">
        <v>-2</v>
      </c>
      <c r="F49" s="9">
        <v>1</v>
      </c>
      <c r="G49" s="9">
        <v>1</v>
      </c>
      <c r="H49" s="9">
        <v>1</v>
      </c>
      <c r="I49" s="9" t="s">
        <v>158</v>
      </c>
      <c r="J49">
        <f t="shared" si="3"/>
        <v>1</v>
      </c>
      <c r="N49" s="175">
        <v>10</v>
      </c>
      <c r="O49" s="176" t="s">
        <v>417</v>
      </c>
      <c r="P49" s="62">
        <v>10</v>
      </c>
    </row>
    <row r="50" spans="2:21" x14ac:dyDescent="0.25">
      <c r="B50">
        <f t="shared" si="2"/>
        <v>48</v>
      </c>
      <c r="C50" s="47" t="s">
        <v>206</v>
      </c>
      <c r="D50" s="38">
        <v>0</v>
      </c>
      <c r="E50" s="45">
        <v>7</v>
      </c>
      <c r="F50" s="45">
        <v>-2</v>
      </c>
      <c r="G50" s="45">
        <v>4</v>
      </c>
      <c r="H50" s="45">
        <v>4</v>
      </c>
      <c r="I50" s="47" t="s">
        <v>223</v>
      </c>
      <c r="J50">
        <f t="shared" si="3"/>
        <v>5</v>
      </c>
    </row>
    <row r="51" spans="2:21" x14ac:dyDescent="0.25">
      <c r="B51">
        <f t="shared" si="2"/>
        <v>49</v>
      </c>
      <c r="C51" s="47" t="s">
        <v>207</v>
      </c>
      <c r="D51" s="38">
        <v>0</v>
      </c>
      <c r="E51" s="45">
        <v>2</v>
      </c>
      <c r="F51" s="45">
        <v>2</v>
      </c>
      <c r="G51" s="45">
        <v>2</v>
      </c>
      <c r="H51" s="45">
        <v>2</v>
      </c>
      <c r="I51" s="45"/>
      <c r="J51">
        <f t="shared" si="3"/>
        <v>3</v>
      </c>
      <c r="T51" s="237" t="s">
        <v>329</v>
      </c>
      <c r="U51" s="237"/>
    </row>
    <row r="52" spans="2:21" x14ac:dyDescent="0.25">
      <c r="B52">
        <f t="shared" si="2"/>
        <v>50</v>
      </c>
      <c r="C52" s="47" t="s">
        <v>208</v>
      </c>
      <c r="D52" s="38">
        <v>0</v>
      </c>
      <c r="E52" s="45">
        <v>1</v>
      </c>
      <c r="F52" s="45">
        <v>1</v>
      </c>
      <c r="G52" s="45">
        <v>0</v>
      </c>
      <c r="H52" s="45">
        <v>1</v>
      </c>
      <c r="I52" s="45" t="s">
        <v>216</v>
      </c>
      <c r="J52">
        <f t="shared" si="3"/>
        <v>1</v>
      </c>
      <c r="S52" s="114" t="s">
        <v>330</v>
      </c>
      <c r="T52" s="64">
        <f>Stats!H4</f>
        <v>9</v>
      </c>
    </row>
    <row r="53" spans="2:21" x14ac:dyDescent="0.25">
      <c r="B53">
        <f t="shared" si="2"/>
        <v>51</v>
      </c>
      <c r="C53" s="47" t="s">
        <v>209</v>
      </c>
      <c r="D53" s="38">
        <v>0</v>
      </c>
      <c r="E53" s="45">
        <v>2</v>
      </c>
      <c r="F53" s="45">
        <v>2</v>
      </c>
      <c r="G53" s="45">
        <v>-3</v>
      </c>
      <c r="H53" s="45">
        <v>2</v>
      </c>
      <c r="I53" s="47" t="s">
        <v>224</v>
      </c>
      <c r="J53">
        <f t="shared" si="3"/>
        <v>1</v>
      </c>
      <c r="S53" s="114" t="s">
        <v>331</v>
      </c>
      <c r="T53" s="64">
        <f>Stats!H5</f>
        <v>9</v>
      </c>
    </row>
    <row r="54" spans="2:21" x14ac:dyDescent="0.25">
      <c r="B54">
        <f t="shared" si="2"/>
        <v>52</v>
      </c>
      <c r="C54" s="46" t="s">
        <v>210</v>
      </c>
      <c r="D54" s="38">
        <v>0</v>
      </c>
      <c r="E54" s="9">
        <v>0</v>
      </c>
      <c r="F54" s="9">
        <v>3</v>
      </c>
      <c r="G54" s="9">
        <v>4</v>
      </c>
      <c r="H54" s="9">
        <v>3</v>
      </c>
      <c r="I54" s="9"/>
      <c r="J54">
        <f t="shared" si="3"/>
        <v>4</v>
      </c>
      <c r="T54" s="64">
        <f>AVERAGE(T52,T53)</f>
        <v>9</v>
      </c>
      <c r="U54" s="64">
        <f>T52*T53/(Stats!C8*2)</f>
        <v>13.5</v>
      </c>
    </row>
    <row r="55" spans="2:21" x14ac:dyDescent="0.25">
      <c r="B55">
        <f t="shared" si="2"/>
        <v>53</v>
      </c>
      <c r="C55" s="41" t="s">
        <v>187</v>
      </c>
      <c r="D55" s="38">
        <v>0</v>
      </c>
      <c r="E55" s="9">
        <v>3</v>
      </c>
      <c r="F55" s="9">
        <v>3</v>
      </c>
      <c r="G55" s="9">
        <v>2</v>
      </c>
      <c r="H55" s="9">
        <v>4</v>
      </c>
      <c r="I55" s="9"/>
      <c r="J55">
        <f t="shared" si="3"/>
        <v>4</v>
      </c>
    </row>
    <row r="56" spans="2:21" x14ac:dyDescent="0.25">
      <c r="B56">
        <f t="shared" si="2"/>
        <v>54</v>
      </c>
      <c r="C56" s="117" t="s">
        <v>351</v>
      </c>
      <c r="D56" s="39">
        <v>2</v>
      </c>
      <c r="E56" s="8">
        <v>0</v>
      </c>
      <c r="F56" s="8">
        <v>1</v>
      </c>
      <c r="G56" s="8">
        <v>0</v>
      </c>
      <c r="H56" s="8">
        <v>1</v>
      </c>
      <c r="I56" s="21" t="s">
        <v>56</v>
      </c>
      <c r="J56">
        <f t="shared" si="3"/>
        <v>1</v>
      </c>
    </row>
    <row r="57" spans="2:21" x14ac:dyDescent="0.25">
      <c r="B57">
        <f t="shared" si="2"/>
        <v>55</v>
      </c>
      <c r="C57" s="117" t="s">
        <v>350</v>
      </c>
      <c r="D57" s="39">
        <v>2</v>
      </c>
      <c r="E57" s="8">
        <v>1</v>
      </c>
      <c r="F57" s="8">
        <v>-2</v>
      </c>
      <c r="G57" s="8">
        <v>5</v>
      </c>
      <c r="H57" s="8">
        <v>2</v>
      </c>
      <c r="I57" s="8"/>
      <c r="J57">
        <f t="shared" si="3"/>
        <v>2</v>
      </c>
    </row>
    <row r="58" spans="2:21" x14ac:dyDescent="0.25">
      <c r="B58">
        <f t="shared" si="2"/>
        <v>56</v>
      </c>
      <c r="C58" s="117" t="s">
        <v>349</v>
      </c>
      <c r="D58" s="39">
        <v>2</v>
      </c>
      <c r="E58" s="8">
        <v>2</v>
      </c>
      <c r="F58" s="8">
        <v>2</v>
      </c>
      <c r="G58" s="8">
        <v>-3</v>
      </c>
      <c r="H58" s="8">
        <v>3</v>
      </c>
      <c r="I58" s="8"/>
      <c r="J58">
        <f t="shared" ref="J58:J66" si="5">ROUNDUP(SUM(E58:H58)/3,0)</f>
        <v>2</v>
      </c>
    </row>
    <row r="59" spans="2:21" x14ac:dyDescent="0.25">
      <c r="B59">
        <f t="shared" si="2"/>
        <v>57</v>
      </c>
      <c r="C59" s="50" t="s">
        <v>230</v>
      </c>
      <c r="D59" s="40">
        <v>0</v>
      </c>
      <c r="E59" s="7">
        <v>4</v>
      </c>
      <c r="F59" s="7">
        <v>2</v>
      </c>
      <c r="G59" s="7">
        <v>1</v>
      </c>
      <c r="H59" s="7">
        <v>2</v>
      </c>
      <c r="I59" s="7"/>
      <c r="J59">
        <f t="shared" si="5"/>
        <v>3</v>
      </c>
    </row>
    <row r="60" spans="2:21" x14ac:dyDescent="0.25">
      <c r="B60">
        <f t="shared" si="2"/>
        <v>58</v>
      </c>
      <c r="C60" s="50" t="s">
        <v>231</v>
      </c>
      <c r="D60" s="40">
        <v>1</v>
      </c>
      <c r="E60" s="7">
        <v>4</v>
      </c>
      <c r="F60" s="7">
        <v>4</v>
      </c>
      <c r="G60" s="7">
        <v>2</v>
      </c>
      <c r="H60" s="7">
        <v>2</v>
      </c>
      <c r="I60" s="7"/>
      <c r="J60">
        <f t="shared" si="5"/>
        <v>4</v>
      </c>
    </row>
    <row r="61" spans="2:21" x14ac:dyDescent="0.25">
      <c r="B61">
        <f t="shared" si="2"/>
        <v>59</v>
      </c>
      <c r="C61" s="50" t="s">
        <v>232</v>
      </c>
      <c r="D61" s="40">
        <v>1</v>
      </c>
      <c r="E61" s="7">
        <v>2</v>
      </c>
      <c r="F61" s="7">
        <v>3</v>
      </c>
      <c r="G61" s="7">
        <v>1</v>
      </c>
      <c r="H61" s="7">
        <v>3</v>
      </c>
      <c r="I61" s="7"/>
      <c r="J61">
        <f t="shared" si="5"/>
        <v>3</v>
      </c>
    </row>
    <row r="62" spans="2:21" x14ac:dyDescent="0.25">
      <c r="B62">
        <f t="shared" si="2"/>
        <v>60</v>
      </c>
      <c r="C62" s="50" t="s">
        <v>233</v>
      </c>
      <c r="D62" s="40">
        <v>0</v>
      </c>
      <c r="E62" s="7">
        <v>3</v>
      </c>
      <c r="F62" s="7">
        <v>3</v>
      </c>
      <c r="G62" s="7">
        <v>-2</v>
      </c>
      <c r="H62" s="7">
        <v>2</v>
      </c>
      <c r="I62" s="7"/>
      <c r="J62">
        <f t="shared" si="5"/>
        <v>2</v>
      </c>
    </row>
    <row r="63" spans="2:21" x14ac:dyDescent="0.25">
      <c r="B63">
        <f t="shared" si="2"/>
        <v>61</v>
      </c>
      <c r="C63" s="50" t="s">
        <v>234</v>
      </c>
      <c r="D63" s="40">
        <v>0</v>
      </c>
      <c r="E63" s="7">
        <v>2</v>
      </c>
      <c r="F63" s="7">
        <v>2</v>
      </c>
      <c r="G63" s="7">
        <v>0</v>
      </c>
      <c r="H63" s="7">
        <v>2</v>
      </c>
      <c r="I63" s="7"/>
      <c r="J63">
        <f t="shared" si="5"/>
        <v>2</v>
      </c>
    </row>
    <row r="64" spans="2:21" x14ac:dyDescent="0.25">
      <c r="B64">
        <f t="shared" si="2"/>
        <v>62</v>
      </c>
      <c r="C64" s="50" t="s">
        <v>235</v>
      </c>
      <c r="D64" s="40">
        <v>1</v>
      </c>
      <c r="E64" s="7">
        <v>1</v>
      </c>
      <c r="F64" s="7">
        <v>2</v>
      </c>
      <c r="G64" s="7">
        <v>0</v>
      </c>
      <c r="H64" s="7">
        <v>2</v>
      </c>
      <c r="I64" s="7"/>
      <c r="J64">
        <f t="shared" si="5"/>
        <v>2</v>
      </c>
    </row>
    <row r="65" spans="2:10" x14ac:dyDescent="0.25">
      <c r="B65">
        <f t="shared" si="2"/>
        <v>63</v>
      </c>
      <c r="C65" s="50" t="s">
        <v>236</v>
      </c>
      <c r="D65" s="40">
        <v>1</v>
      </c>
      <c r="E65" s="7">
        <v>-1</v>
      </c>
      <c r="F65" s="7">
        <v>1</v>
      </c>
      <c r="G65" s="7">
        <v>1</v>
      </c>
      <c r="H65" s="7">
        <v>2</v>
      </c>
      <c r="I65" s="19" t="s">
        <v>54</v>
      </c>
      <c r="J65">
        <f t="shared" si="5"/>
        <v>1</v>
      </c>
    </row>
    <row r="66" spans="2:10" x14ac:dyDescent="0.25">
      <c r="B66">
        <v>64</v>
      </c>
      <c r="C66" s="34" t="s">
        <v>155</v>
      </c>
      <c r="D66" s="37">
        <v>2</v>
      </c>
      <c r="E66" s="7">
        <v>0</v>
      </c>
      <c r="F66" s="7">
        <v>0</v>
      </c>
      <c r="G66" s="7">
        <v>0</v>
      </c>
      <c r="H66" s="7">
        <v>0</v>
      </c>
      <c r="I66" s="19"/>
      <c r="J66">
        <f t="shared" si="5"/>
        <v>0</v>
      </c>
    </row>
  </sheetData>
  <autoFilter ref="C1:J66"/>
  <mergeCells count="3">
    <mergeCell ref="N38:P38"/>
    <mergeCell ref="N30:P30"/>
    <mergeCell ref="T51:U5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Wykres1</vt:lpstr>
      <vt:lpstr>Stats</vt:lpstr>
      <vt:lpstr>Magic</vt:lpstr>
      <vt:lpstr>Inventory</vt:lpstr>
      <vt:lpstr>meta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Wiktor</dc:creator>
  <cp:lastModifiedBy>Użytkownik systemu Windows</cp:lastModifiedBy>
  <dcterms:created xsi:type="dcterms:W3CDTF">2025-01-17T21:19:00Z</dcterms:created>
  <dcterms:modified xsi:type="dcterms:W3CDTF">2026-05-02T18:11:19Z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8651E680A217495FBEF3D44DA10FB561_12</vt:lpwstr>
  </property>
  <property fmtid="{D5CDD505-2E9C-101B-9397-08002B2CF9AE}" pid="3" name="KSOProductBuildVer">
    <vt:lpwstr>1045-12.2.0.19805</vt:lpwstr>
  </property>
</Properties>
</file>